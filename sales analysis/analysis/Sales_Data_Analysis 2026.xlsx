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Cache/pivotCacheRecords5.xml" ContentType="application/vnd.openxmlformats-officedocument.spreadsheetml.pivotCacheRecords+xml"/>
  <Override PartName="/xl/pivotCache/pivotCacheRecords6.xml" ContentType="application/vnd.openxmlformats-officedocument.spreadsheetml.pivotCacheRecords+xml"/>
  <Override PartName="/xl/pivotCache/pivotCacheRecords7.xml" ContentType="application/vnd.openxmlformats-officedocument.spreadsheetml.pivotCacheRecords+xml"/>
  <Override PartName="/xl/pivotCache/pivotCacheRecords8.xml" ContentType="application/vnd.openxmlformats-officedocument.spreadsheetml.pivotCacheRecords+xml"/>
  <Override PartName="/xl/pivotCache/pivotCacheRecords9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20" firstSheet="1"/>
  </bookViews>
  <sheets>
    <sheet name="Sales_Data" sheetId="1" r:id="rId1"/>
    <sheet name="cleaned data " sheetId="9" r:id="rId2"/>
    <sheet name="Sheet3" sheetId="5" state="hidden" r:id="rId3"/>
    <sheet name="dashboard" sheetId="6" r:id="rId4"/>
    <sheet name="analysis " sheetId="7" r:id="rId5"/>
    <sheet name="insights &amp; recommendations " sheetId="10" r:id="rId6"/>
  </sheet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  <pivotCache cacheId="6" r:id="rId13"/>
    <pivotCache cacheId="7" r:id="rId14"/>
    <pivotCache cacheId="8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<sst xmlns="http://schemas.openxmlformats.org/spreadsheetml/2006/main" count="2494" uniqueCount="296">
  <si>
    <t>Order_ID</t>
  </si>
  <si>
    <t>Order_Date</t>
  </si>
  <si>
    <t>Region</t>
  </si>
  <si>
    <t>Channel</t>
  </si>
  <si>
    <t>Product</t>
  </si>
  <si>
    <t>Category</t>
  </si>
  <si>
    <t>Quantity</t>
  </si>
  <si>
    <t>Unit_Price_EGP</t>
  </si>
  <si>
    <t>Discount</t>
  </si>
  <si>
    <t>Sales_EGP</t>
  </si>
  <si>
    <t>Customer_ID</t>
  </si>
  <si>
    <t>ORD-1123</t>
  </si>
  <si>
    <t>Giza</t>
  </si>
  <si>
    <t>Store</t>
  </si>
  <si>
    <t>Office Chair</t>
  </si>
  <si>
    <t>Furniture</t>
  </si>
  <si>
    <t>CUST-109</t>
  </si>
  <si>
    <t>ORD-1019</t>
  </si>
  <si>
    <t>Cairo</t>
  </si>
  <si>
    <t>Online</t>
  </si>
  <si>
    <t>CUST-132</t>
  </si>
  <si>
    <t>ORD-1065</t>
  </si>
  <si>
    <t>Alexandria</t>
  </si>
  <si>
    <t>Desk</t>
  </si>
  <si>
    <t>CUST-148</t>
  </si>
  <si>
    <t>ORD-1168</t>
  </si>
  <si>
    <t>ORD-1069</t>
  </si>
  <si>
    <t>Pen Set</t>
  </si>
  <si>
    <t>Stationery</t>
  </si>
  <si>
    <t>CUST-110</t>
  </si>
  <si>
    <t>ORD-1124</t>
  </si>
  <si>
    <t>Aswan</t>
  </si>
  <si>
    <t>Laptop</t>
  </si>
  <si>
    <t>Electronics</t>
  </si>
  <si>
    <t>CUST-114</t>
  </si>
  <si>
    <t>ORD-1104</t>
  </si>
  <si>
    <t>CUST-147</t>
  </si>
  <si>
    <t>ORD-1057</t>
  </si>
  <si>
    <t>CUST-138</t>
  </si>
  <si>
    <t>ORD-1049</t>
  </si>
  <si>
    <t>ORD-1092</t>
  </si>
  <si>
    <t>Headphones</t>
  </si>
  <si>
    <t>CUST-111</t>
  </si>
  <si>
    <t>ORD-1109</t>
  </si>
  <si>
    <t>ORD-1144</t>
  </si>
  <si>
    <t>CUST-107</t>
  </si>
  <si>
    <t>ORD-1074</t>
  </si>
  <si>
    <t>CUST-149</t>
  </si>
  <si>
    <t>ORD-1048</t>
  </si>
  <si>
    <t>CUST-133</t>
  </si>
  <si>
    <t>ORD-1032</t>
  </si>
  <si>
    <t>Mansoura</t>
  </si>
  <si>
    <t>CUST-104</t>
  </si>
  <si>
    <t>ORD-1087</t>
  </si>
  <si>
    <t>CUST-123</t>
  </si>
  <si>
    <t>ORD-1077</t>
  </si>
  <si>
    <t>CUST-105</t>
  </si>
  <si>
    <t>ORD-1004</t>
  </si>
  <si>
    <t>CUST-131</t>
  </si>
  <si>
    <t>ORD-1129</t>
  </si>
  <si>
    <t>CUST-136</t>
  </si>
  <si>
    <t>ORD-1044</t>
  </si>
  <si>
    <t>Water Bottle</t>
  </si>
  <si>
    <t>Accessories</t>
  </si>
  <si>
    <t>ORD-1024</t>
  </si>
  <si>
    <t>CUST-102</t>
  </si>
  <si>
    <t>ORD-1041</t>
  </si>
  <si>
    <t>ORD-1007</t>
  </si>
  <si>
    <t>CUST-135</t>
  </si>
  <si>
    <t>ORD-1027</t>
  </si>
  <si>
    <t>Backpack</t>
  </si>
  <si>
    <t>ORD-1082</t>
  </si>
  <si>
    <t>CUST-129</t>
  </si>
  <si>
    <t>ORD-1127</t>
  </si>
  <si>
    <t>ORD-1165</t>
  </si>
  <si>
    <t>CUST-100</t>
  </si>
  <si>
    <t>ORD-1155</t>
  </si>
  <si>
    <t>CUST-122</t>
  </si>
  <si>
    <t>ORD-1106</t>
  </si>
  <si>
    <t>ORD-1154</t>
  </si>
  <si>
    <t>CUST-121</t>
  </si>
  <si>
    <t>ORD-1148</t>
  </si>
  <si>
    <t>ORD-1142</t>
  </si>
  <si>
    <t>ORD-1159</t>
  </si>
  <si>
    <t>Notebook</t>
  </si>
  <si>
    <t>CUST-120</t>
  </si>
  <si>
    <t>ORD-1102</t>
  </si>
  <si>
    <t>CUST-140</t>
  </si>
  <si>
    <t>ORD-1111</t>
  </si>
  <si>
    <t>ORD-1059</t>
  </si>
  <si>
    <t>CUST-137</t>
  </si>
  <si>
    <t>ORD-1119</t>
  </si>
  <si>
    <t>CUST-101</t>
  </si>
  <si>
    <t>ORD-1143</t>
  </si>
  <si>
    <t>CUST-145</t>
  </si>
  <si>
    <t>ORD-1115</t>
  </si>
  <si>
    <t>ORD-1022</t>
  </si>
  <si>
    <t>CUST-130</t>
  </si>
  <si>
    <t>ORD-1078</t>
  </si>
  <si>
    <t>ORD-1105</t>
  </si>
  <si>
    <t>CUST-150</t>
  </si>
  <si>
    <t>ORD-1085</t>
  </si>
  <si>
    <t>ORD-1131</t>
  </si>
  <si>
    <t>ORD-1157</t>
  </si>
  <si>
    <t>CUST-141</t>
  </si>
  <si>
    <t>ORD-1072</t>
  </si>
  <si>
    <t>CUST-119</t>
  </si>
  <si>
    <t>ORD-1151</t>
  </si>
  <si>
    <t>ORD-1088</t>
  </si>
  <si>
    <t>CUST-142</t>
  </si>
  <si>
    <t>ORD-1076</t>
  </si>
  <si>
    <t>CUST-112</t>
  </si>
  <si>
    <t>ORD-1112</t>
  </si>
  <si>
    <t>ORD-1029</t>
  </si>
  <si>
    <t>CUST-127</t>
  </si>
  <si>
    <t>ORD-1062</t>
  </si>
  <si>
    <t>ORD-1034</t>
  </si>
  <si>
    <t>CUST-118</t>
  </si>
  <si>
    <t>ORD-1174</t>
  </si>
  <si>
    <t>CUST-144</t>
  </si>
  <si>
    <t>ORD-1039</t>
  </si>
  <si>
    <t>ORD-1136</t>
  </si>
  <si>
    <t>ORD-1081</t>
  </si>
  <si>
    <t>ORD-1051</t>
  </si>
  <si>
    <t>ORD-1018</t>
  </si>
  <si>
    <t>ORD-1070</t>
  </si>
  <si>
    <t>ORD-1067</t>
  </si>
  <si>
    <t>ORD-1036</t>
  </si>
  <si>
    <t>CUST-146</t>
  </si>
  <si>
    <t>ORD-1026</t>
  </si>
  <si>
    <t>ORD-1030</t>
  </si>
  <si>
    <t>ORD-1177</t>
  </si>
  <si>
    <t>ORD-1047</t>
  </si>
  <si>
    <t>ORD-1114</t>
  </si>
  <si>
    <t>CUST-108</t>
  </si>
  <si>
    <t>ORD-1152</t>
  </si>
  <si>
    <t>CUST-143</t>
  </si>
  <si>
    <t>ORD-1172</t>
  </si>
  <si>
    <t>ORD-1134</t>
  </si>
  <si>
    <t>ORD-1096</t>
  </si>
  <si>
    <t>CUST-113</t>
  </si>
  <si>
    <t>ORD-1037</t>
  </si>
  <si>
    <t>CUST-115</t>
  </si>
  <si>
    <t>ORD-1089</t>
  </si>
  <si>
    <t>ORD-1149</t>
  </si>
  <si>
    <t>CUST-117</t>
  </si>
  <si>
    <t>ORD-1146</t>
  </si>
  <si>
    <t>ORD-1091</t>
  </si>
  <si>
    <t>ORD-1108</t>
  </si>
  <si>
    <t>ORD-1006</t>
  </si>
  <si>
    <t>ORD-1042</t>
  </si>
  <si>
    <t>ORD-1160</t>
  </si>
  <si>
    <t>ORD-1010</t>
  </si>
  <si>
    <t>ORD-1060</t>
  </si>
  <si>
    <t>ORD-1098</t>
  </si>
  <si>
    <t>ORD-1079</t>
  </si>
  <si>
    <t>ORD-1158</t>
  </si>
  <si>
    <t>ORD-1053</t>
  </si>
  <si>
    <t>ORD-1147</t>
  </si>
  <si>
    <t>ORD-1020</t>
  </si>
  <si>
    <t>ORD-1093</t>
  </si>
  <si>
    <t>ORD-1011</t>
  </si>
  <si>
    <t>ORD-1090</t>
  </si>
  <si>
    <t>ORD-1028</t>
  </si>
  <si>
    <t>ORD-1046</t>
  </si>
  <si>
    <t>ORD-1050</t>
  </si>
  <si>
    <t>ORD-1130</t>
  </si>
  <si>
    <t>ORD-1054</t>
  </si>
  <si>
    <t>ORD-1162</t>
  </si>
  <si>
    <t>ORD-1003</t>
  </si>
  <si>
    <t>ORD-1075</t>
  </si>
  <si>
    <t>ORD-1135</t>
  </si>
  <si>
    <t>ORD-1137</t>
  </si>
  <si>
    <t>ORD-1180</t>
  </si>
  <si>
    <t>ORD-1116</t>
  </si>
  <si>
    <t>ORD-1013</t>
  </si>
  <si>
    <t>ORD-1120</t>
  </si>
  <si>
    <t>ORD-1169</t>
  </si>
  <si>
    <t>ORD-1001</t>
  </si>
  <si>
    <t>ORD-1126</t>
  </si>
  <si>
    <t>ORD-1008</t>
  </si>
  <si>
    <t>ORD-1063</t>
  </si>
  <si>
    <t>ORD-1118</t>
  </si>
  <si>
    <t>ORD-1014</t>
  </si>
  <si>
    <t>CUST-124</t>
  </si>
  <si>
    <t>ORD-1068</t>
  </si>
  <si>
    <t>ORD-1005</t>
  </si>
  <si>
    <t>ORD-1156</t>
  </si>
  <si>
    <t>ORD-1035</t>
  </si>
  <si>
    <t>ORD-1080</t>
  </si>
  <si>
    <t>ORD-1055</t>
  </si>
  <si>
    <t>ORD-1167</t>
  </si>
  <si>
    <t>ORD-1012</t>
  </si>
  <si>
    <t>ORD-1178</t>
  </si>
  <si>
    <t>CUST-128</t>
  </si>
  <si>
    <t>ORD-1166</t>
  </si>
  <si>
    <t>ORD-1164</t>
  </si>
  <si>
    <t>ORD-1009</t>
  </si>
  <si>
    <t>ORD-1103</t>
  </si>
  <si>
    <t>ORD-1084</t>
  </si>
  <si>
    <t>ORD-1132</t>
  </si>
  <si>
    <t>ORD-1161</t>
  </si>
  <si>
    <t>CUST-139</t>
  </si>
  <si>
    <t>ORD-1094</t>
  </si>
  <si>
    <t>CUST-116</t>
  </si>
  <si>
    <t>ORD-1163</t>
  </si>
  <si>
    <t>ORD-1052</t>
  </si>
  <si>
    <t>ORD-1023</t>
  </si>
  <si>
    <t>ORD-1038</t>
  </si>
  <si>
    <t>ORD-1016</t>
  </si>
  <si>
    <t>ORD-1122</t>
  </si>
  <si>
    <t>ORD-1064</t>
  </si>
  <si>
    <t>ORD-1045</t>
  </si>
  <si>
    <t>ORD-1138</t>
  </si>
  <si>
    <t>ORD-1153</t>
  </si>
  <si>
    <t>ORD-1066</t>
  </si>
  <si>
    <t>ORD-1107</t>
  </si>
  <si>
    <t>ORD-1040</t>
  </si>
  <si>
    <t>ORD-1099</t>
  </si>
  <si>
    <t>ORD-1095</t>
  </si>
  <si>
    <t>ORD-1171</t>
  </si>
  <si>
    <t>ORD-1128</t>
  </si>
  <si>
    <t>ORD-1097</t>
  </si>
  <si>
    <t>CUST-106</t>
  </si>
  <si>
    <t>ORD-1125</t>
  </si>
  <si>
    <t>CUST-126</t>
  </si>
  <si>
    <t>ORD-1140</t>
  </si>
  <si>
    <t>ORD-1071</t>
  </si>
  <si>
    <t>ORD-1017</t>
  </si>
  <si>
    <t>ORD-1139</t>
  </si>
  <si>
    <t>ORD-1113</t>
  </si>
  <si>
    <t>ORD-1176</t>
  </si>
  <si>
    <t>ORD-1015</t>
  </si>
  <si>
    <t>CUST-134</t>
  </si>
  <si>
    <t>ORD-1083</t>
  </si>
  <si>
    <t>ORD-1170</t>
  </si>
  <si>
    <t>CUST-125</t>
  </si>
  <si>
    <t>ORD-1086</t>
  </si>
  <si>
    <t>ORD-1021</t>
  </si>
  <si>
    <t>ORD-1179</t>
  </si>
  <si>
    <t>ORD-1145</t>
  </si>
  <si>
    <t>ORD-1025</t>
  </si>
  <si>
    <t>ORD-1073</t>
  </si>
  <si>
    <t>ORD-1110</t>
  </si>
  <si>
    <t>ORD-1101</t>
  </si>
  <si>
    <t>ORD-1100</t>
  </si>
  <si>
    <t>ORD-1061</t>
  </si>
  <si>
    <t>ORD-1173</t>
  </si>
  <si>
    <t>ORD-1043</t>
  </si>
  <si>
    <t>ORD-1031</t>
  </si>
  <si>
    <t>ORD-1150</t>
  </si>
  <si>
    <t>ORD-1141</t>
  </si>
  <si>
    <t>ORD-1056</t>
  </si>
  <si>
    <t>ORD-1175</t>
  </si>
  <si>
    <t>ORD-1117</t>
  </si>
  <si>
    <t>ORD-1121</t>
  </si>
  <si>
    <t>ORD-1033</t>
  </si>
  <si>
    <t>ORD-1058</t>
  </si>
  <si>
    <t>ORD-1133</t>
  </si>
  <si>
    <t>ORD-1002</t>
  </si>
  <si>
    <t>month</t>
  </si>
  <si>
    <t>(blank)</t>
  </si>
  <si>
    <t>Grand Total</t>
  </si>
  <si>
    <t>total sales</t>
  </si>
  <si>
    <t>total orders</t>
  </si>
  <si>
    <t>total quantity sold</t>
  </si>
  <si>
    <t>average order value</t>
  </si>
  <si>
    <t>sales by month</t>
  </si>
  <si>
    <t>Sum of Sales_EGP</t>
  </si>
  <si>
    <t>sales by region</t>
  </si>
  <si>
    <t>sales by category</t>
  </si>
  <si>
    <t>best products</t>
  </si>
  <si>
    <t>sales channel</t>
  </si>
  <si>
    <t xml:space="preserve">Additional Analysis </t>
  </si>
  <si>
    <t xml:space="preserve">product with high quantity sold </t>
  </si>
  <si>
    <t>Row Labels</t>
  </si>
  <si>
    <t>Sum of Quantity</t>
  </si>
  <si>
    <t xml:space="preserve">region with highest orders </t>
  </si>
  <si>
    <t>Count of Order_ID</t>
  </si>
  <si>
    <t xml:space="preserve">highest discount </t>
  </si>
  <si>
    <t>Average of Discount</t>
  </si>
  <si>
    <t xml:space="preserve">discount level vs average sales </t>
  </si>
  <si>
    <t>Average of Sales_EGP</t>
  </si>
  <si>
    <t xml:space="preserve"> Region x Category (Sum of Sales_EGP)</t>
  </si>
  <si>
    <t>Key Insight</t>
  </si>
  <si>
    <t>Recommendation</t>
  </si>
  <si>
    <t>Laptops achieved the highest total sales despite receiving the lowest promotional discount. This inverse relationship indicates high customer demand and strong price inelasticity.</t>
  </si>
  <si>
    <t>Avoid unnecessary discounting on Laptops to protect gross profit margins. Maintain robust stock levels to capitalize on strong organic consumer demand.</t>
  </si>
  <si>
    <t>Alexandria emerged as the top-performing sales region, whereas Mansoura recorded the lowest sales volume, highlighting a severe geographic performance gap.</t>
  </si>
  <si>
    <t>Conduct a diagnostic review of Mansoura's operations. Implement targeted regional marketing campaigns, localized promotions, or supply chain optimizations to boost sales.</t>
  </si>
  <si>
    <t>The Online channel outperformed all physical and direct sales channels, demonstrating a strong customer preference for digital purchasing.</t>
  </si>
  <si>
    <t>Expand digital channel capacity, enhance UX/UI, and reallocate advertising budgets toward online customer acquisition, while auditing offline channel bottlenecks.</t>
  </si>
  <si>
    <t>Electronics generated the highest revenue among all categories, while Stationery lagged significantly. At the SKU level, Laptops led sales while Notebooks underperformed.</t>
  </si>
  <si>
    <t>Re-evaluate the product assortment and pricing structure for Stationery/Notebooks. Assess whether low demand stems from pricing, poor placement, or shifting consumer preference.</t>
  </si>
  <si>
    <t>May recorded peak sales performance across the entire year, representing the strongest surge in customer purchasing activity.</t>
  </si>
  <si>
    <t>Analyze driver variables behind May's peak (e.g., promotional campaigns, seasonality) and replicate these successful tactics during traditionally slower sales cycles.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</si>
</sst>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6">
    <font>
      <sz val="11"/>
      <color theme="1"/>
      <name val="Franklin Gothic Book"/>
      <charset val="134"/>
      <scheme val="minor"/>
    </font>
    <font>
      <b/>
      <sz val="24"/>
      <color rgb="FFFFFFFF"/>
      <name val="Arial"/>
      <charset val="134"/>
    </font>
    <font>
      <sz val="12"/>
      <color rgb="FF1E293B"/>
      <name val="Calibri"/>
      <charset val="134"/>
    </font>
    <font>
      <b/>
      <sz val="18"/>
      <color theme="1"/>
      <name val="Franklin Gothic Book"/>
      <charset val="134"/>
      <scheme val="minor"/>
    </font>
    <font>
      <b/>
      <sz val="20"/>
      <color theme="1"/>
      <name val="Franklin Gothic Book"/>
      <charset val="134"/>
      <scheme val="minor"/>
    </font>
    <font>
      <sz val="22"/>
      <color theme="1"/>
      <name val="Franklin Gothic Book"/>
      <charset val="134"/>
      <scheme val="minor"/>
    </font>
    <font>
      <b/>
      <sz val="11"/>
      <name val="Franklin Gothic Book"/>
      <charset val="134"/>
      <scheme val="minor"/>
    </font>
    <font>
      <u/>
      <sz val="11"/>
      <color rgb="FF0000FF"/>
      <name val="Franklin Gothic Book"/>
      <charset val="0"/>
      <scheme val="minor"/>
    </font>
    <font>
      <u/>
      <sz val="11"/>
      <color rgb="FF800080"/>
      <name val="Franklin Gothic Book"/>
      <charset val="0"/>
      <scheme val="minor"/>
    </font>
    <font>
      <sz val="11"/>
      <color rgb="FFFF0000"/>
      <name val="Franklin Gothic Book"/>
      <charset val="0"/>
      <scheme val="minor"/>
    </font>
    <font>
      <b/>
      <sz val="18"/>
      <color theme="3"/>
      <name val="Franklin Gothic Book"/>
      <charset val="134"/>
      <scheme val="minor"/>
    </font>
    <font>
      <i/>
      <sz val="11"/>
      <color rgb="FF7F7F7F"/>
      <name val="Franklin Gothic Book"/>
      <charset val="0"/>
      <scheme val="minor"/>
    </font>
    <font>
      <b/>
      <sz val="15"/>
      <color theme="3"/>
      <name val="Franklin Gothic Book"/>
      <charset val="134"/>
      <scheme val="minor"/>
    </font>
    <font>
      <b/>
      <sz val="13"/>
      <color theme="3"/>
      <name val="Franklin Gothic Book"/>
      <charset val="134"/>
      <scheme val="minor"/>
    </font>
    <font>
      <b/>
      <sz val="11"/>
      <color theme="3"/>
      <name val="Franklin Gothic Book"/>
      <charset val="134"/>
      <scheme val="minor"/>
    </font>
    <font>
      <sz val="11"/>
      <color rgb="FF3F3F76"/>
      <name val="Franklin Gothic Book"/>
      <charset val="0"/>
      <scheme val="minor"/>
    </font>
    <font>
      <b/>
      <sz val="11"/>
      <color rgb="FF3F3F3F"/>
      <name val="Franklin Gothic Book"/>
      <charset val="0"/>
      <scheme val="minor"/>
    </font>
    <font>
      <b/>
      <sz val="11"/>
      <color rgb="FFFA7D00"/>
      <name val="Franklin Gothic Book"/>
      <charset val="0"/>
      <scheme val="minor"/>
    </font>
    <font>
      <b/>
      <sz val="11"/>
      <color rgb="FFFFFFFF"/>
      <name val="Franklin Gothic Book"/>
      <charset val="0"/>
      <scheme val="minor"/>
    </font>
    <font>
      <sz val="11"/>
      <color rgb="FFFA7D00"/>
      <name val="Franklin Gothic Book"/>
      <charset val="0"/>
      <scheme val="minor"/>
    </font>
    <font>
      <b/>
      <sz val="11"/>
      <color theme="1"/>
      <name val="Franklin Gothic Book"/>
      <charset val="0"/>
      <scheme val="minor"/>
    </font>
    <font>
      <sz val="11"/>
      <color rgb="FF006100"/>
      <name val="Franklin Gothic Book"/>
      <charset val="0"/>
      <scheme val="minor"/>
    </font>
    <font>
      <sz val="11"/>
      <color rgb="FF9C0006"/>
      <name val="Franklin Gothic Book"/>
      <charset val="0"/>
      <scheme val="minor"/>
    </font>
    <font>
      <sz val="11"/>
      <color rgb="FF9C6500"/>
      <name val="Franklin Gothic Book"/>
      <charset val="0"/>
      <scheme val="minor"/>
    </font>
    <font>
      <sz val="11"/>
      <color theme="0"/>
      <name val="Franklin Gothic Book"/>
      <charset val="0"/>
      <scheme val="minor"/>
    </font>
    <font>
      <sz val="11"/>
      <color theme="1"/>
      <name val="Franklin Gothic Book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rgb="FFCBD5E1"/>
      </top>
      <bottom style="medium">
        <color rgb="FFCBD5E1"/>
      </bottom>
      <diagonal/>
    </border>
    <border>
      <left/>
      <right/>
      <top style="medium">
        <color rgb="FFCBD5E1"/>
      </top>
      <bottom style="medium">
        <color rgb="FF1E3A8A"/>
      </bottom>
      <diagonal/>
    </border>
    <border>
      <left style="thin">
        <color theme="4"/>
      </left>
      <right style="thin">
        <color theme="4" tint="0.399975585192419"/>
      </right>
      <top style="thin">
        <color theme="4"/>
      </top>
      <bottom style="thin">
        <color theme="4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/>
      </top>
      <bottom style="thin">
        <color theme="4"/>
      </bottom>
      <diagonal/>
    </border>
    <border>
      <left style="thin">
        <color theme="4" tint="0.399975585192419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9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 applyAlignment="1">
      <alignment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5" fillId="5" borderId="3" xfId="0" applyFont="1" applyFill="1" applyBorder="1"/>
    <xf numFmtId="0" fontId="5" fillId="5" borderId="4" xfId="0" applyFont="1" applyFill="1" applyBorder="1"/>
    <xf numFmtId="0" fontId="5" fillId="5" borderId="5" xfId="0" applyFont="1" applyFill="1" applyBorder="1"/>
    <xf numFmtId="0" fontId="5" fillId="0" borderId="0" xfId="0" applyFont="1"/>
    <xf numFmtId="0" fontId="6" fillId="0" borderId="6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1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9" defaultPivotStyle="PivotStyleLight16"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3.xml"/><Relationship Id="rId8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pivotCacheDefinition" Target="pivotCache/pivotCacheDefinition9.xml"/><Relationship Id="rId14" Type="http://schemas.openxmlformats.org/officeDocument/2006/relationships/pivotCacheDefinition" Target="pivotCache/pivotCacheDefinition8.xml"/><Relationship Id="rId13" Type="http://schemas.openxmlformats.org/officeDocument/2006/relationships/pivotCacheDefinition" Target="pivotCache/pivotCacheDefinition7.xml"/><Relationship Id="rId12" Type="http://schemas.openxmlformats.org/officeDocument/2006/relationships/pivotCacheDefinition" Target="pivotCache/pivotCacheDefinition6.xml"/><Relationship Id="rId11" Type="http://schemas.openxmlformats.org/officeDocument/2006/relationships/pivotCacheDefinition" Target="pivotCache/pivotCacheDefinition5.xml"/><Relationship Id="rId1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[Excel_Data_Analyst_Mini_Project_Sales_Data.xlsx]analysis 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Trend By Month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'analysis 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0" scaled="1"/>
              </a:gra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'!$A$5:$A$12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(blank)</c:v>
                </c:pt>
              </c:strCache>
            </c:strRef>
          </c:cat>
          <c:val>
            <c:numRef>
              <c:f>'analysis '!$B$5:$B$12</c:f>
              <c:numCache>
                <c:formatCode>General</c:formatCode>
                <c:ptCount val="7"/>
                <c:pt idx="0">
                  <c:v>425484</c:v>
                </c:pt>
                <c:pt idx="1">
                  <c:v>208581</c:v>
                </c:pt>
                <c:pt idx="2">
                  <c:v>201299.5</c:v>
                </c:pt>
                <c:pt idx="3">
                  <c:v>225288</c:v>
                </c:pt>
                <c:pt idx="4">
                  <c:v>685139</c:v>
                </c:pt>
                <c:pt idx="5">
                  <c:v>268602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1"/>
        <c:axId val="766090275"/>
        <c:axId val="848222881"/>
      </c:lineChart>
      <c:catAx>
        <c:axId val="7660902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8222881"/>
        <c:crosses val="autoZero"/>
        <c:auto val="1"/>
        <c:lblAlgn val="ctr"/>
        <c:lblOffset val="100"/>
        <c:noMultiLvlLbl val="0"/>
      </c:catAx>
      <c:valAx>
        <c:axId val="8482228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60902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84db95c-1ed8-4c95-9de9-d1f95267578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[Excel_Data_Analyst_Mini_Project_Sales_Data.xlsx]analysis !PivotTable4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Region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'!$B$17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  <a:alpha val="91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'!$A$18:$A$24</c:f>
              <c:strCache>
                <c:ptCount val="6"/>
                <c:pt idx="0">
                  <c:v>Alexandria</c:v>
                </c:pt>
                <c:pt idx="1">
                  <c:v>Aswan</c:v>
                </c:pt>
                <c:pt idx="2">
                  <c:v>Cairo</c:v>
                </c:pt>
                <c:pt idx="3">
                  <c:v>Giza</c:v>
                </c:pt>
                <c:pt idx="4">
                  <c:v>Mansoura</c:v>
                </c:pt>
                <c:pt idx="5">
                  <c:v>(blank)</c:v>
                </c:pt>
              </c:strCache>
            </c:strRef>
          </c:cat>
          <c:val>
            <c:numRef>
              <c:f>'analysis '!$B$18:$B$24</c:f>
              <c:numCache>
                <c:formatCode>General</c:formatCode>
                <c:ptCount val="6"/>
                <c:pt idx="0">
                  <c:v>633405</c:v>
                </c:pt>
                <c:pt idx="1">
                  <c:v>337098.5</c:v>
                </c:pt>
                <c:pt idx="2">
                  <c:v>482916.5</c:v>
                </c:pt>
                <c:pt idx="3">
                  <c:v>330402.5</c:v>
                </c:pt>
                <c:pt idx="4">
                  <c:v>230571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40"/>
        <c:overlap val="-40"/>
        <c:axId val="590391414"/>
        <c:axId val="835467291"/>
      </c:barChart>
      <c:catAx>
        <c:axId val="59039141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467291"/>
        <c:crosses val="autoZero"/>
        <c:auto val="1"/>
        <c:lblAlgn val="ctr"/>
        <c:lblOffset val="100"/>
        <c:noMultiLvlLbl val="0"/>
      </c:catAx>
      <c:valAx>
        <c:axId val="8354672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3914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171efe8-6030-426b-ab91-a841f8709b1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[Excel_Data_Analyst_Mini_Project_Sales_Data.xlsx]analysis 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Category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'!$B$29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'!$A$30:$A$35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  <c:pt idx="4">
                  <c:v>(blank)</c:v>
                </c:pt>
              </c:strCache>
            </c:strRef>
          </c:cat>
          <c:val>
            <c:numRef>
              <c:f>'analysis '!$B$30:$B$35</c:f>
              <c:numCache>
                <c:formatCode>General</c:formatCode>
                <c:ptCount val="5"/>
                <c:pt idx="0">
                  <c:v>61073</c:v>
                </c:pt>
                <c:pt idx="1">
                  <c:v>1390006.5</c:v>
                </c:pt>
                <c:pt idx="2">
                  <c:v>555099.5</c:v>
                </c:pt>
                <c:pt idx="3">
                  <c:v>8214.5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6"/>
        <c:overlap val="-32"/>
        <c:axId val="65964370"/>
        <c:axId val="55370241"/>
      </c:barChart>
      <c:catAx>
        <c:axId val="6596437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370241"/>
        <c:crosses val="autoZero"/>
        <c:auto val="1"/>
        <c:lblAlgn val="ctr"/>
        <c:lblOffset val="100"/>
        <c:noMultiLvlLbl val="0"/>
      </c:catAx>
      <c:valAx>
        <c:axId val="553702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96437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34d6074-db5b-4009-bd2a-c0d7158ccfa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[Excel_Data_Analyst_Mini_Project_Sales_Data.xlsx]analysis 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Best Products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'!$B$40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  <a:alpha val="91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'!$A$41:$A$50</c:f>
              <c:strCache>
                <c:ptCount val="9"/>
                <c:pt idx="0">
                  <c:v>Laptop</c:v>
                </c:pt>
                <c:pt idx="1">
                  <c:v>Desk</c:v>
                </c:pt>
                <c:pt idx="2">
                  <c:v>Office Chair</c:v>
                </c:pt>
                <c:pt idx="3">
                  <c:v>Headphones</c:v>
                </c:pt>
                <c:pt idx="4">
                  <c:v>Backpack</c:v>
                </c:pt>
                <c:pt idx="5">
                  <c:v>Water Bottle</c:v>
                </c:pt>
                <c:pt idx="6">
                  <c:v>Pen Set</c:v>
                </c:pt>
                <c:pt idx="7">
                  <c:v>Notebook</c:v>
                </c:pt>
                <c:pt idx="8">
                  <c:v>(blank)</c:v>
                </c:pt>
              </c:strCache>
            </c:strRef>
          </c:cat>
          <c:val>
            <c:numRef>
              <c:f>'analysis '!$B$41:$B$50</c:f>
              <c:numCache>
                <c:formatCode>General</c:formatCode>
                <c:ptCount val="9"/>
                <c:pt idx="0">
                  <c:v>1311953</c:v>
                </c:pt>
                <c:pt idx="1">
                  <c:v>305380.5</c:v>
                </c:pt>
                <c:pt idx="2">
                  <c:v>249719</c:v>
                </c:pt>
                <c:pt idx="3">
                  <c:v>78053.5</c:v>
                </c:pt>
                <c:pt idx="4">
                  <c:v>53051.5</c:v>
                </c:pt>
                <c:pt idx="5">
                  <c:v>8021.5</c:v>
                </c:pt>
                <c:pt idx="6">
                  <c:v>5505.5</c:v>
                </c:pt>
                <c:pt idx="7">
                  <c:v>2709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40"/>
        <c:overlap val="-40"/>
        <c:axId val="802911803"/>
        <c:axId val="313258129"/>
      </c:barChart>
      <c:catAx>
        <c:axId val="80291180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3258129"/>
        <c:crosses val="autoZero"/>
        <c:auto val="1"/>
        <c:lblAlgn val="ctr"/>
        <c:lblOffset val="100"/>
        <c:noMultiLvlLbl val="0"/>
      </c:catAx>
      <c:valAx>
        <c:axId val="31325812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29118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eef8cf3-8300-4f99-9835-fb8b73ada66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[Excel_Data_Analyst_Mini_Project_Sales_Data.xlsx]analysis 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Trend By Month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'analysis 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0" scaled="1"/>
              </a:gra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'!$A$5:$A$12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(blank)</c:v>
                </c:pt>
              </c:strCache>
            </c:strRef>
          </c:cat>
          <c:val>
            <c:numRef>
              <c:f>'analysis '!$B$5:$B$12</c:f>
              <c:numCache>
                <c:formatCode>General</c:formatCode>
                <c:ptCount val="7"/>
                <c:pt idx="0">
                  <c:v>425484</c:v>
                </c:pt>
                <c:pt idx="1">
                  <c:v>208581</c:v>
                </c:pt>
                <c:pt idx="2">
                  <c:v>201299.5</c:v>
                </c:pt>
                <c:pt idx="3">
                  <c:v>225288</c:v>
                </c:pt>
                <c:pt idx="4">
                  <c:v>685139</c:v>
                </c:pt>
                <c:pt idx="5">
                  <c:v>268602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1"/>
        <c:axId val="766090275"/>
        <c:axId val="848222881"/>
      </c:lineChart>
      <c:catAx>
        <c:axId val="7660902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8222881"/>
        <c:crosses val="autoZero"/>
        <c:auto val="1"/>
        <c:lblAlgn val="ctr"/>
        <c:lblOffset val="100"/>
        <c:noMultiLvlLbl val="0"/>
      </c:catAx>
      <c:valAx>
        <c:axId val="8482228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60902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84db95c-1ed8-4c95-9de9-d1f95267578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[Excel_Data_Analyst_Mini_Project_Sales_Data.xlsx]analysis 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Region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'!$B$17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  <a:alpha val="91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'!$A$18:$A$24</c:f>
              <c:strCache>
                <c:ptCount val="6"/>
                <c:pt idx="0">
                  <c:v>Alexandria</c:v>
                </c:pt>
                <c:pt idx="1">
                  <c:v>Aswan</c:v>
                </c:pt>
                <c:pt idx="2">
                  <c:v>Cairo</c:v>
                </c:pt>
                <c:pt idx="3">
                  <c:v>Giza</c:v>
                </c:pt>
                <c:pt idx="4">
                  <c:v>Mansoura</c:v>
                </c:pt>
                <c:pt idx="5">
                  <c:v>(blank)</c:v>
                </c:pt>
              </c:strCache>
            </c:strRef>
          </c:cat>
          <c:val>
            <c:numRef>
              <c:f>'analysis '!$B$18:$B$24</c:f>
              <c:numCache>
                <c:formatCode>General</c:formatCode>
                <c:ptCount val="6"/>
                <c:pt idx="0">
                  <c:v>633405</c:v>
                </c:pt>
                <c:pt idx="1">
                  <c:v>337098.5</c:v>
                </c:pt>
                <c:pt idx="2">
                  <c:v>482916.5</c:v>
                </c:pt>
                <c:pt idx="3">
                  <c:v>330402.5</c:v>
                </c:pt>
                <c:pt idx="4">
                  <c:v>230571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40"/>
        <c:overlap val="-40"/>
        <c:axId val="590391414"/>
        <c:axId val="835467291"/>
      </c:barChart>
      <c:catAx>
        <c:axId val="59039141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467291"/>
        <c:crosses val="autoZero"/>
        <c:auto val="1"/>
        <c:lblAlgn val="ctr"/>
        <c:lblOffset val="100"/>
        <c:noMultiLvlLbl val="0"/>
      </c:catAx>
      <c:valAx>
        <c:axId val="8354672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3914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171efe8-6030-426b-ab91-a841f8709b1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[Excel_Data_Analyst_Mini_Project_Sales_Data.xlsx]analysis 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Category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'!$B$29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'!$A$30:$A$35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  <c:pt idx="4">
                  <c:v>(blank)</c:v>
                </c:pt>
              </c:strCache>
            </c:strRef>
          </c:cat>
          <c:val>
            <c:numRef>
              <c:f>'analysis '!$B$30:$B$35</c:f>
              <c:numCache>
                <c:formatCode>General</c:formatCode>
                <c:ptCount val="5"/>
                <c:pt idx="0">
                  <c:v>61073</c:v>
                </c:pt>
                <c:pt idx="1">
                  <c:v>1390006.5</c:v>
                </c:pt>
                <c:pt idx="2">
                  <c:v>555099.5</c:v>
                </c:pt>
                <c:pt idx="3">
                  <c:v>8214.5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6"/>
        <c:overlap val="-32"/>
        <c:axId val="65964370"/>
        <c:axId val="55370241"/>
      </c:barChart>
      <c:catAx>
        <c:axId val="6596437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370241"/>
        <c:crosses val="autoZero"/>
        <c:auto val="1"/>
        <c:lblAlgn val="ctr"/>
        <c:lblOffset val="100"/>
        <c:noMultiLvlLbl val="0"/>
      </c:catAx>
      <c:valAx>
        <c:axId val="553702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96437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34d6074-db5b-4009-bd2a-c0d7158ccfa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[Excel_Data_Analyst_Mini_Project_Sales_Data.xlsx]analysis 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Best Products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'!$B$40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  <a:alpha val="91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'!$A$41:$A$50</c:f>
              <c:strCache>
                <c:ptCount val="9"/>
                <c:pt idx="0">
                  <c:v>Laptop</c:v>
                </c:pt>
                <c:pt idx="1">
                  <c:v>Desk</c:v>
                </c:pt>
                <c:pt idx="2">
                  <c:v>Office Chair</c:v>
                </c:pt>
                <c:pt idx="3">
                  <c:v>Headphones</c:v>
                </c:pt>
                <c:pt idx="4">
                  <c:v>Backpack</c:v>
                </c:pt>
                <c:pt idx="5">
                  <c:v>Water Bottle</c:v>
                </c:pt>
                <c:pt idx="6">
                  <c:v>Pen Set</c:v>
                </c:pt>
                <c:pt idx="7">
                  <c:v>Notebook</c:v>
                </c:pt>
                <c:pt idx="8">
                  <c:v>(blank)</c:v>
                </c:pt>
              </c:strCache>
            </c:strRef>
          </c:cat>
          <c:val>
            <c:numRef>
              <c:f>'analysis '!$B$41:$B$50</c:f>
              <c:numCache>
                <c:formatCode>General</c:formatCode>
                <c:ptCount val="9"/>
                <c:pt idx="0">
                  <c:v>1311953</c:v>
                </c:pt>
                <c:pt idx="1">
                  <c:v>305380.5</c:v>
                </c:pt>
                <c:pt idx="2">
                  <c:v>249719</c:v>
                </c:pt>
                <c:pt idx="3">
                  <c:v>78053.5</c:v>
                </c:pt>
                <c:pt idx="4">
                  <c:v>53051.5</c:v>
                </c:pt>
                <c:pt idx="5">
                  <c:v>8021.5</c:v>
                </c:pt>
                <c:pt idx="6">
                  <c:v>5505.5</c:v>
                </c:pt>
                <c:pt idx="7">
                  <c:v>2709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40"/>
        <c:overlap val="-40"/>
        <c:axId val="802911803"/>
        <c:axId val="313258129"/>
      </c:barChart>
      <c:catAx>
        <c:axId val="80291180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3258129"/>
        <c:crosses val="autoZero"/>
        <c:auto val="1"/>
        <c:lblAlgn val="ctr"/>
        <c:lblOffset val="100"/>
        <c:noMultiLvlLbl val="0"/>
      </c:catAx>
      <c:valAx>
        <c:axId val="31325812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29118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eef8cf3-8300-4f99-9835-fb8b73ada66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[Excel_Data_Analyst_Mini_Project_Sales_Data.xlsx]analysis 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'analysis '!$B$55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shade val="65000"/>
                      <a:lumMod val="40000"/>
                      <a:lumOff val="60000"/>
                    </a:schemeClr>
                  </a:gs>
                  <a:gs pos="90000">
                    <a:schemeClr val="accent1">
                      <a:shade val="65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shade val="65000"/>
                      </a:schemeClr>
                    </a:gs>
                    <a:gs pos="100000">
                      <a:schemeClr val="accent1">
                        <a:shade val="65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1">
                      <a:tint val="65000"/>
                      <a:lumMod val="40000"/>
                      <a:lumOff val="60000"/>
                    </a:schemeClr>
                  </a:gs>
                  <a:gs pos="90000">
                    <a:schemeClr val="accent1">
                      <a:tint val="65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tint val="65000"/>
                      </a:schemeClr>
                    </a:gs>
                    <a:gs pos="100000">
                      <a:schemeClr val="accent1">
                        <a:tint val="65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'!$A$56:$A$59</c:f>
              <c:strCache>
                <c:ptCount val="3"/>
                <c:pt idx="0">
                  <c:v>Online</c:v>
                </c:pt>
                <c:pt idx="1">
                  <c:v>Store</c:v>
                </c:pt>
                <c:pt idx="2">
                  <c:v>(blank)</c:v>
                </c:pt>
              </c:strCache>
            </c:strRef>
          </c:cat>
          <c:val>
            <c:numRef>
              <c:f>'analysis '!$B$56:$B$59</c:f>
              <c:numCache>
                <c:formatCode>General</c:formatCode>
                <c:ptCount val="3"/>
                <c:pt idx="0">
                  <c:v>1442407.5</c:v>
                </c:pt>
                <c:pt idx="1">
                  <c:v>571986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cf78b88-86e0-4192-ac6c-61ce8ce014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100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  <a:alpha val="91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  <a:alpha val="91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  <a:alpha val="91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  <a:alpha val="91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9.xml"/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243840</xdr:colOff>
      <xdr:row>4</xdr:row>
      <xdr:rowOff>76200</xdr:rowOff>
    </xdr:from>
    <xdr:to>
      <xdr:col>2</xdr:col>
      <xdr:colOff>2220595</xdr:colOff>
      <xdr:row>14</xdr:row>
      <xdr:rowOff>153035</xdr:rowOff>
    </xdr:to>
    <xdr:graphicFrame>
      <xdr:nvGraphicFramePr>
        <xdr:cNvPr id="2" name="Chart 1"/>
        <xdr:cNvGraphicFramePr/>
      </xdr:nvGraphicFramePr>
      <xdr:xfrm>
        <a:off x="243840" y="1158240"/>
        <a:ext cx="4940935" cy="1981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248920</xdr:colOff>
      <xdr:row>4</xdr:row>
      <xdr:rowOff>27940</xdr:rowOff>
    </xdr:from>
    <xdr:to>
      <xdr:col>7</xdr:col>
      <xdr:colOff>494665</xdr:colOff>
      <xdr:row>14</xdr:row>
      <xdr:rowOff>165100</xdr:rowOff>
    </xdr:to>
    <xdr:graphicFrame>
      <xdr:nvGraphicFramePr>
        <xdr:cNvPr id="3" name="Chart 2"/>
        <xdr:cNvGraphicFramePr/>
      </xdr:nvGraphicFramePr>
      <xdr:xfrm>
        <a:off x="5506720" y="1109980"/>
        <a:ext cx="4573905" cy="204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243205</xdr:colOff>
      <xdr:row>17</xdr:row>
      <xdr:rowOff>32385</xdr:rowOff>
    </xdr:from>
    <xdr:to>
      <xdr:col>2</xdr:col>
      <xdr:colOff>1861820</xdr:colOff>
      <xdr:row>28</xdr:row>
      <xdr:rowOff>133350</xdr:rowOff>
    </xdr:to>
    <xdr:graphicFrame>
      <xdr:nvGraphicFramePr>
        <xdr:cNvPr id="4" name="Chart 3"/>
        <xdr:cNvGraphicFramePr/>
      </xdr:nvGraphicFramePr>
      <xdr:xfrm>
        <a:off x="243205" y="3590925"/>
        <a:ext cx="4582795" cy="2196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9525</xdr:colOff>
      <xdr:row>17</xdr:row>
      <xdr:rowOff>40005</xdr:rowOff>
    </xdr:from>
    <xdr:to>
      <xdr:col>8</xdr:col>
      <xdr:colOff>287020</xdr:colOff>
      <xdr:row>28</xdr:row>
      <xdr:rowOff>93980</xdr:rowOff>
    </xdr:to>
    <xdr:graphicFrame>
      <xdr:nvGraphicFramePr>
        <xdr:cNvPr id="5" name="Chart 4"/>
        <xdr:cNvGraphicFramePr/>
      </xdr:nvGraphicFramePr>
      <xdr:xfrm>
        <a:off x="5267325" y="3598545"/>
        <a:ext cx="5215255" cy="2149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132715</xdr:colOff>
      <xdr:row>2</xdr:row>
      <xdr:rowOff>165100</xdr:rowOff>
    </xdr:from>
    <xdr:to>
      <xdr:col>7</xdr:col>
      <xdr:colOff>730250</xdr:colOff>
      <xdr:row>12</xdr:row>
      <xdr:rowOff>127635</xdr:rowOff>
    </xdr:to>
    <xdr:graphicFrame>
      <xdr:nvGraphicFramePr>
        <xdr:cNvPr id="2" name="Chart 1"/>
        <xdr:cNvGraphicFramePr/>
      </xdr:nvGraphicFramePr>
      <xdr:xfrm>
        <a:off x="3523615" y="546100"/>
        <a:ext cx="4940935" cy="1981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335280</xdr:colOff>
      <xdr:row>15</xdr:row>
      <xdr:rowOff>53340</xdr:rowOff>
    </xdr:from>
    <xdr:to>
      <xdr:col>7</xdr:col>
      <xdr:colOff>63500</xdr:colOff>
      <xdr:row>24</xdr:row>
      <xdr:rowOff>167640</xdr:rowOff>
    </xdr:to>
    <xdr:graphicFrame>
      <xdr:nvGraphicFramePr>
        <xdr:cNvPr id="4" name="Chart 3"/>
        <xdr:cNvGraphicFramePr/>
      </xdr:nvGraphicFramePr>
      <xdr:xfrm>
        <a:off x="3726180" y="3025140"/>
        <a:ext cx="4071620" cy="1943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231140</xdr:colOff>
      <xdr:row>27</xdr:row>
      <xdr:rowOff>60325</xdr:rowOff>
    </xdr:from>
    <xdr:to>
      <xdr:col>7</xdr:col>
      <xdr:colOff>470535</xdr:colOff>
      <xdr:row>38</xdr:row>
      <xdr:rowOff>46990</xdr:rowOff>
    </xdr:to>
    <xdr:graphicFrame>
      <xdr:nvGraphicFramePr>
        <xdr:cNvPr id="5" name="Chart 4"/>
        <xdr:cNvGraphicFramePr/>
      </xdr:nvGraphicFramePr>
      <xdr:xfrm>
        <a:off x="3622040" y="5432425"/>
        <a:ext cx="4582795" cy="2196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180340</xdr:colOff>
      <xdr:row>39</xdr:row>
      <xdr:rowOff>106045</xdr:rowOff>
    </xdr:from>
    <xdr:to>
      <xdr:col>7</xdr:col>
      <xdr:colOff>1052195</xdr:colOff>
      <xdr:row>49</xdr:row>
      <xdr:rowOff>68580</xdr:rowOff>
    </xdr:to>
    <xdr:graphicFrame>
      <xdr:nvGraphicFramePr>
        <xdr:cNvPr id="6" name="Chart 5"/>
        <xdr:cNvGraphicFramePr/>
      </xdr:nvGraphicFramePr>
      <xdr:xfrm>
        <a:off x="3571240" y="7992745"/>
        <a:ext cx="5215255" cy="1867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558800</xdr:colOff>
      <xdr:row>52</xdr:row>
      <xdr:rowOff>106045</xdr:rowOff>
    </xdr:from>
    <xdr:to>
      <xdr:col>7</xdr:col>
      <xdr:colOff>187960</xdr:colOff>
      <xdr:row>62</xdr:row>
      <xdr:rowOff>53975</xdr:rowOff>
    </xdr:to>
    <xdr:graphicFrame>
      <xdr:nvGraphicFramePr>
        <xdr:cNvPr id="7" name="Chart 6"/>
        <xdr:cNvGraphicFramePr/>
      </xdr:nvGraphicFramePr>
      <xdr:xfrm>
        <a:off x="3949700" y="10469245"/>
        <a:ext cx="3972560" cy="1967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78.0719444444" refreshedBy="ls804" recordCount="181">
  <cacheSource type="worksheet">
    <worksheetSource ref="A1:C1048576" sheet="Sales_Data"/>
  </cacheSource>
  <cacheFields count="3">
    <cacheField name="Order_ID" numFmtId="0">
      <sharedItems containsBlank="1" count="181">
        <s v="ORD-1123"/>
        <s v="ORD-1019"/>
        <s v="ORD-1065"/>
        <s v="ORD-1168"/>
        <s v="ORD-1069"/>
        <s v="ORD-1124"/>
        <s v="ORD-1104"/>
        <s v="ORD-1057"/>
        <s v="ORD-1049"/>
        <s v="ORD-1092"/>
        <s v="ORD-1109"/>
        <s v="ORD-1144"/>
        <s v="ORD-1074"/>
        <s v="ORD-1048"/>
        <s v="ORD-1032"/>
        <s v="ORD-1087"/>
        <s v="ORD-1077"/>
        <s v="ORD-1004"/>
        <s v="ORD-1129"/>
        <s v="ORD-1044"/>
        <s v="ORD-1024"/>
        <s v="ORD-1041"/>
        <s v="ORD-1007"/>
        <s v="ORD-1027"/>
        <s v="ORD-1082"/>
        <s v="ORD-1127"/>
        <s v="ORD-1165"/>
        <s v="ORD-1155"/>
        <s v="ORD-1106"/>
        <s v="ORD-1154"/>
        <s v="ORD-1148"/>
        <s v="ORD-1142"/>
        <s v="ORD-1159"/>
        <s v="ORD-1102"/>
        <s v="ORD-1111"/>
        <s v="ORD-1059"/>
        <s v="ORD-1119"/>
        <s v="ORD-1143"/>
        <s v="ORD-1115"/>
        <s v="ORD-1022"/>
        <s v="ORD-1078"/>
        <s v="ORD-1105"/>
        <s v="ORD-1085"/>
        <s v="ORD-1131"/>
        <s v="ORD-1157"/>
        <s v="ORD-1072"/>
        <s v="ORD-1151"/>
        <s v="ORD-1088"/>
        <s v="ORD-1076"/>
        <s v="ORD-1112"/>
        <s v="ORD-1029"/>
        <s v="ORD-1062"/>
        <s v="ORD-1034"/>
        <s v="ORD-1174"/>
        <s v="ORD-1039"/>
        <s v="ORD-1136"/>
        <s v="ORD-1081"/>
        <s v="ORD-1051"/>
        <s v="ORD-1018"/>
        <s v="ORD-1070"/>
        <s v="ORD-1067"/>
        <s v="ORD-1036"/>
        <s v="ORD-1026"/>
        <s v="ORD-1030"/>
        <s v="ORD-1177"/>
        <s v="ORD-1047"/>
        <s v="ORD-1114"/>
        <s v="ORD-1152"/>
        <s v="ORD-1172"/>
        <s v="ORD-1134"/>
        <s v="ORD-1096"/>
        <s v="ORD-1037"/>
        <s v="ORD-1089"/>
        <s v="ORD-1149"/>
        <s v="ORD-1146"/>
        <s v="ORD-1091"/>
        <s v="ORD-1108"/>
        <s v="ORD-1006"/>
        <s v="ORD-1042"/>
        <s v="ORD-1160"/>
        <s v="ORD-1010"/>
        <s v="ORD-1060"/>
        <s v="ORD-1098"/>
        <s v="ORD-1079"/>
        <s v="ORD-1158"/>
        <s v="ORD-1053"/>
        <s v="ORD-1147"/>
        <s v="ORD-1020"/>
        <s v="ORD-1093"/>
        <s v="ORD-1011"/>
        <s v="ORD-1090"/>
        <s v="ORD-1028"/>
        <s v="ORD-1046"/>
        <s v="ORD-1050"/>
        <s v="ORD-1130"/>
        <s v="ORD-1054"/>
        <s v="ORD-1162"/>
        <s v="ORD-1003"/>
        <s v="ORD-1075"/>
        <s v="ORD-1135"/>
        <s v="ORD-1137"/>
        <s v="ORD-1180"/>
        <s v="ORD-1116"/>
        <s v="ORD-1013"/>
        <s v="ORD-1120"/>
        <s v="ORD-1169"/>
        <s v="ORD-1001"/>
        <s v="ORD-1126"/>
        <s v="ORD-1008"/>
        <s v="ORD-1063"/>
        <s v="ORD-1118"/>
        <s v="ORD-1014"/>
        <s v="ORD-1068"/>
        <s v="ORD-1005"/>
        <s v="ORD-1156"/>
        <s v="ORD-1035"/>
        <s v="ORD-1080"/>
        <s v="ORD-1055"/>
        <s v="ORD-1167"/>
        <s v="ORD-1012"/>
        <s v="ORD-1178"/>
        <s v="ORD-1166"/>
        <s v="ORD-1164"/>
        <s v="ORD-1009"/>
        <s v="ORD-1103"/>
        <s v="ORD-1084"/>
        <s v="ORD-1132"/>
        <s v="ORD-1161"/>
        <s v="ORD-1094"/>
        <s v="ORD-1163"/>
        <s v="ORD-1052"/>
        <s v="ORD-1023"/>
        <s v="ORD-1038"/>
        <s v="ORD-1016"/>
        <s v="ORD-1122"/>
        <s v="ORD-1064"/>
        <s v="ORD-1045"/>
        <s v="ORD-1138"/>
        <s v="ORD-1153"/>
        <s v="ORD-1066"/>
        <s v="ORD-1107"/>
        <s v="ORD-1040"/>
        <s v="ORD-1099"/>
        <s v="ORD-1095"/>
        <s v="ORD-1171"/>
        <s v="ORD-1128"/>
        <s v="ORD-1097"/>
        <s v="ORD-1125"/>
        <s v="ORD-1140"/>
        <s v="ORD-1071"/>
        <s v="ORD-1017"/>
        <s v="ORD-1139"/>
        <s v="ORD-1113"/>
        <s v="ORD-1176"/>
        <s v="ORD-1015"/>
        <s v="ORD-1083"/>
        <s v="ORD-1170"/>
        <s v="ORD-1086"/>
        <s v="ORD-1021"/>
        <s v="ORD-1179"/>
        <s v="ORD-1145"/>
        <s v="ORD-1025"/>
        <s v="ORD-1073"/>
        <s v="ORD-1110"/>
        <s v="ORD-1101"/>
        <s v="ORD-1100"/>
        <s v="ORD-1061"/>
        <s v="ORD-1173"/>
        <s v="ORD-1043"/>
        <s v="ORD-1031"/>
        <s v="ORD-1150"/>
        <s v="ORD-1141"/>
        <s v="ORD-1056"/>
        <s v="ORD-1175"/>
        <s v="ORD-1117"/>
        <s v="ORD-1121"/>
        <s v="ORD-1033"/>
        <s v="ORD-1058"/>
        <s v="ORD-1133"/>
        <s v="ORD-1002"/>
        <m/>
      </sharedItems>
    </cacheField>
    <cacheField name="Order_Date" numFmtId="0">
      <sharedItems containsString="0" containsBlank="1" containsNonDate="0" containsDate="1" minDate="2026-01-01T00:00:00" maxDate="2026-06-29T00:00:00" count="110">
        <d v="2026-01-01T00:00:00"/>
        <d v="2026-01-02T00:00:00"/>
        <d v="2026-01-03T00:00:00"/>
        <d v="2026-01-04T00:00:00"/>
        <d v="2026-01-05T00:00:00"/>
        <d v="2026-01-08T00:00:00"/>
        <d v="2026-01-09T00:00:00"/>
        <d v="2026-01-12T00:00:00"/>
        <d v="2026-01-13T00:00:00"/>
        <d v="2026-01-14T00:00:00"/>
        <d v="2026-01-15T00:00:00"/>
        <d v="2026-01-18T00:00:00"/>
        <d v="2026-01-21T00:00:00"/>
        <d v="2026-01-22T00:00:00"/>
        <d v="2026-01-24T00:00:00"/>
        <d v="2026-01-27T00:00:00"/>
        <d v="2026-01-28T00:00:00"/>
        <d v="2026-01-29T00:00:00"/>
        <d v="2026-01-30T00:00:00"/>
        <d v="2026-02-02T00:00:00"/>
        <d v="2026-02-04T00:00:00"/>
        <d v="2026-02-05T00:00:00"/>
        <d v="2026-02-06T00:00:00"/>
        <d v="2026-02-07T00:00:00"/>
        <d v="2026-02-09T00:00:00"/>
        <d v="2026-02-10T00:00:00"/>
        <d v="2026-02-11T00:00:00"/>
        <d v="2026-02-13T00:00:00"/>
        <d v="2026-02-14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7T00:00:00"/>
        <d v="2026-02-28T00:00:00"/>
        <d v="2026-03-01T00:00:00"/>
        <d v="2026-03-03T00:00:00"/>
        <d v="2026-03-04T00:00:00"/>
        <d v="2026-03-05T00:00:00"/>
        <d v="2026-03-06T00:00:00"/>
        <d v="2026-03-07T00:00:00"/>
        <d v="2026-03-12T00:00:00"/>
        <d v="2026-03-13T00:00:00"/>
        <d v="2026-03-14T00:00:00"/>
        <d v="2026-03-16T00:00:00"/>
        <d v="2026-03-22T00:00:00"/>
        <d v="2026-03-23T00:00:00"/>
        <d v="2026-03-25T00:00:00"/>
        <d v="2026-03-27T00:00:00"/>
        <d v="2026-03-29T00:00:00"/>
        <d v="2026-03-30T00:00:00"/>
        <d v="2026-03-31T00:00:00"/>
        <d v="2026-04-02T00:00:00"/>
        <d v="2026-04-03T00:00:00"/>
        <d v="2026-04-05T00:00:00"/>
        <d v="2026-04-06T00:00:00"/>
        <d v="2026-04-09T00:00:00"/>
        <d v="2026-04-10T00:00:00"/>
        <d v="2026-04-11T00:00:00"/>
        <d v="2026-04-13T00:00:00"/>
        <d v="2026-04-14T00:00:00"/>
        <d v="2026-04-16T00:00:00"/>
        <d v="2026-04-17T00:00:00"/>
        <d v="2026-04-18T00:00:00"/>
        <d v="2026-04-21T00:00:00"/>
        <d v="2026-04-26T00:00:00"/>
        <d v="2026-04-27T00:00:00"/>
        <d v="2026-04-28T00:00:00"/>
        <d v="2026-05-01T00:00:00"/>
        <d v="2026-05-02T00:00:00"/>
        <d v="2026-05-03T00:00:00"/>
        <d v="2026-05-04T00:00:00"/>
        <d v="2026-05-08T00:00:00"/>
        <d v="2026-05-09T00:00:00"/>
        <d v="2026-05-10T00:00:00"/>
        <d v="2026-05-11T00:00:00"/>
        <d v="2026-05-12T00:00:00"/>
        <d v="2026-05-14T00:00:00"/>
        <d v="2026-05-15T00:00:00"/>
        <d v="2026-05-16T00:00:00"/>
        <d v="2026-05-17T00:00:00"/>
        <d v="2026-05-19T00:00:00"/>
        <d v="2026-05-22T00:00:00"/>
        <d v="2026-05-23T00:00:00"/>
        <d v="2026-05-26T00:00:00"/>
        <d v="2026-05-30T00:00:00"/>
        <d v="2026-05-31T00:00:00"/>
        <d v="2026-06-01T00:00:00"/>
        <d v="2026-06-03T00:00:00"/>
        <d v="2026-06-04T00:00:00"/>
        <d v="2026-06-06T00:00:00"/>
        <d v="2026-06-07T00:00:00"/>
        <d v="2026-06-09T00:00:00"/>
        <d v="2026-06-10T00:00:00"/>
        <d v="2026-06-11T00:00:00"/>
        <d v="2026-06-12T00:00:00"/>
        <d v="2026-06-13T00:00:00"/>
        <d v="2026-06-14T00:00:00"/>
        <d v="2026-06-16T00:00:00"/>
        <d v="2026-06-19T00:00:00"/>
        <d v="2026-06-20T00:00:00"/>
        <d v="2026-06-21T00:00:00"/>
        <d v="2026-06-24T00:00:00"/>
        <d v="2026-06-28T00:00:00"/>
        <d v="2026-06-29T00:00:00"/>
        <m/>
      </sharedItems>
    </cacheField>
    <cacheField name="Region" numFmtId="0">
      <sharedItems containsBlank="1" count="6">
        <s v="Giza"/>
        <s v="Cairo"/>
        <s v="Alexandria"/>
        <s v="Aswan"/>
        <s v="Mansoura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78.0871990741" refreshedBy="ls804" recordCount="181">
  <cacheSource type="worksheet">
    <worksheetSource ref="J1:K1048576" sheet="Sales_Data"/>
  </cacheSource>
  <cacheFields count="3">
    <cacheField name="Sales_EGP" numFmtId="0">
      <sharedItems containsString="0" containsBlank="1" containsNumber="1" minValue="0" maxValue="167000" count="172">
        <n v="15466"/>
        <n v="5669.5"/>
        <n v="16400"/>
        <n v="7758"/>
        <n v="504"/>
        <n v="114598.5"/>
        <n v="378"/>
        <n v="16120"/>
        <n v="5480"/>
        <n v="1615"/>
        <n v="5785.5"/>
        <n v="4142"/>
        <n v="11900"/>
        <n v="35180"/>
        <n v="12330"/>
        <n v="8660"/>
        <n v="32360"/>
        <n v="11599.5"/>
        <n v="8255.5"/>
        <n v="1254"/>
        <n v="150"/>
        <n v="1596"/>
        <n v="29920"/>
        <n v="2040"/>
        <n v="5865"/>
        <n v="7488.5"/>
        <n v="36740"/>
        <n v="22290"/>
        <n v="3026"/>
        <n v="135"/>
        <n v="480"/>
        <n v="238"/>
        <n v="60"/>
        <n v="31240"/>
        <n v="51"/>
        <n v="2900"/>
        <n v="5000"/>
        <n v="260"/>
        <n v="3000"/>
        <n v="6408"/>
        <n v="6210"/>
        <n v="13591.5"/>
        <n v="5340"/>
        <n v="204"/>
        <n v="1309"/>
        <n v="40"/>
        <n v="13794"/>
        <n v="37940"/>
        <n v="1602"/>
        <n v="855"/>
        <n v="6764"/>
        <n v="5159.5"/>
        <n v="2110"/>
        <n v="4490"/>
        <n v="200"/>
        <n v="39805"/>
        <n v="5227.5"/>
        <n v="7454.5"/>
        <n v="85"/>
        <n v="1450"/>
        <n v="2080"/>
        <n v="1360"/>
        <n v="2540"/>
        <n v="22284"/>
        <n v="210"/>
        <n v="40610"/>
        <n v="108"/>
        <n v="35980"/>
        <n v="5814"/>
        <n v="3150"/>
        <n v="130"/>
        <n v="76"/>
        <n v="2400"/>
        <n v="1320"/>
        <n v="136"/>
        <n v="1233"/>
        <n v="20490"/>
        <n v="7040"/>
        <n v="4410"/>
        <n v="27480"/>
        <n v="140"/>
        <n v="187"/>
        <n v="816"/>
        <n v="541.5"/>
        <n v="3774"/>
        <n v="1720"/>
        <n v="12100"/>
        <n v="120"/>
        <n v="8190"/>
        <n v="90"/>
        <n v="570"/>
        <n v="190"/>
        <n v="12740"/>
        <n v="7030"/>
        <n v="8300"/>
        <n v="1220"/>
        <n v="39800"/>
        <n v="1540"/>
        <n v="6175"/>
        <n v="263.5"/>
        <n v="400"/>
        <n v="2580"/>
        <n v="178.5"/>
        <n v="1387"/>
        <n v="5540"/>
        <n v="10020"/>
        <n v="34136"/>
        <n v="77862"/>
        <n v="7620"/>
        <n v="1560"/>
        <n v="72"/>
        <n v="4365"/>
        <n v="189"/>
        <n v="80"/>
        <n v="1800"/>
        <n v="160"/>
        <n v="77760"/>
        <n v="6860"/>
        <n v="165440"/>
        <n v="240"/>
        <n v="15352"/>
        <n v="11820"/>
        <n v="1411"/>
        <n v="540"/>
        <n v="1188"/>
        <n v="12438"/>
        <n v="252"/>
        <n v="340"/>
        <n v="1326"/>
        <n v="110"/>
        <n v="1920"/>
        <n v="167000"/>
        <n v="310"/>
        <n v="29095.5"/>
        <n v="32680"/>
        <n v="884"/>
        <n v="4460"/>
        <n v="4360"/>
        <n v="77380"/>
        <n v="2240"/>
        <n v="246.5"/>
        <n v="114"/>
        <n v="930"/>
        <n v="3860"/>
        <n v="35920"/>
        <n v="28186"/>
        <n v="13446"/>
        <n v="2992"/>
        <n v="5265"/>
        <n v="630"/>
        <n v="143840"/>
        <n v="289"/>
        <n v="117"/>
        <n v="34210"/>
        <n v="357"/>
        <n v="1164.5"/>
        <n v="7550"/>
        <n v="34110"/>
        <n v="2410"/>
        <n v="2390"/>
        <n v="893"/>
        <n v="2090"/>
        <n v="68"/>
        <n v="3708"/>
        <n v="2010"/>
        <n v="5125.5"/>
        <n v="1007"/>
        <n v="3078"/>
        <n v="320"/>
        <n v="840"/>
        <n v="560"/>
        <m/>
      </sharedItems>
    </cacheField>
    <cacheField name="Customer_ID" numFmtId="0">
      <sharedItems containsBlank="1" count="51">
        <s v="CUST-109"/>
        <s v="CUST-132"/>
        <s v="CUST-148"/>
        <s v="CUST-110"/>
        <s v="CUST-114"/>
        <s v="CUST-147"/>
        <s v="CUST-138"/>
        <s v="CUST-111"/>
        <s v="CUST-107"/>
        <s v="CUST-149"/>
        <s v="CUST-133"/>
        <s v="CUST-104"/>
        <s v="CUST-123"/>
        <s v="CUST-105"/>
        <s v="CUST-131"/>
        <s v="CUST-136"/>
        <s v="CUST-102"/>
        <s v="CUST-135"/>
        <s v="CUST-129"/>
        <s v="CUST-100"/>
        <s v="CUST-122"/>
        <s v="CUST-121"/>
        <s v="CUST-120"/>
        <s v="CUST-140"/>
        <s v="CUST-137"/>
        <s v="CUST-101"/>
        <s v="CUST-145"/>
        <s v="CUST-130"/>
        <s v="CUST-150"/>
        <s v="CUST-141"/>
        <s v="CUST-119"/>
        <s v="CUST-142"/>
        <s v="CUST-112"/>
        <s v="CUST-127"/>
        <s v="CUST-118"/>
        <s v="CUST-144"/>
        <s v="CUST-146"/>
        <s v="CUST-108"/>
        <s v="CUST-143"/>
        <s v="CUST-113"/>
        <s v="CUST-115"/>
        <s v="CUST-117"/>
        <s v="CUST-124"/>
        <s v="CUST-128"/>
        <s v="CUST-139"/>
        <s v="CUST-116"/>
        <s v="CUST-106"/>
        <s v="CUST-126"/>
        <s v="CUST-134"/>
        <s v="CUST-125"/>
        <m/>
      </sharedItems>
    </cacheField>
    <cacheField name="month" numFmtId="0">
      <sharedItems containsString="0" containsBlank="1" containsNumber="1" containsInteger="1" minValue="0" maxValue="6" count="7">
        <n v="1"/>
        <n v="2"/>
        <n v="3"/>
        <n v="4"/>
        <n v="5"/>
        <n v="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78.0900231482" refreshedBy="ls804" recordCount="181">
  <cacheSource type="worksheet">
    <worksheetSource ref="C1:J1048576" sheet="Sales_Data"/>
  </cacheSource>
  <cacheFields count="8">
    <cacheField name="Region" numFmtId="0">
      <sharedItems containsBlank="1" count="6">
        <s v="Giza"/>
        <s v="Cairo"/>
        <s v="Alexandria"/>
        <s v="Aswan"/>
        <s v="Mansoura"/>
        <m/>
      </sharedItems>
    </cacheField>
    <cacheField name="Channel" numFmtId="0">
      <sharedItems containsBlank="1" count="3">
        <s v="Store"/>
        <s v="Online"/>
        <m/>
      </sharedItems>
    </cacheField>
    <cacheField name="Product" numFmtId="0">
      <sharedItems containsBlank="1" count="9">
        <s v="Office Chair"/>
        <s v="Desk"/>
        <s v="Pen Set"/>
        <s v="Laptop"/>
        <s v="Headphones"/>
        <s v="Water Bottle"/>
        <s v="Backpack"/>
        <s v="Notebook"/>
        <m/>
      </sharedItems>
    </cacheField>
    <cacheField name="Category" numFmtId="0">
      <sharedItems containsBlank="1" count="5">
        <s v="Furniture"/>
        <s v="Stationery"/>
        <s v="Electronics"/>
        <s v="Accessories"/>
        <m/>
      </sharedItems>
    </cacheField>
    <cacheField name="Quantity" numFmtId="0">
      <sharedItems containsString="0" containsBlank="1" containsNumber="1" containsInteger="1" minValue="0" maxValue="4" count="5">
        <n v="4"/>
        <n v="1"/>
        <n v="2"/>
        <n v="3"/>
        <m/>
      </sharedItems>
    </cacheField>
    <cacheField name="Unit_Price_EGP" numFmtId="0">
      <sharedItems containsString="0" containsBlank="1" containsNumber="1" containsInteger="1" minValue="0" maxValue="41900" count="133">
        <n v="4070"/>
        <n v="6670"/>
        <n v="8200"/>
        <n v="8620"/>
        <n v="140"/>
        <n v="40210"/>
        <n v="210"/>
        <n v="8060"/>
        <n v="5480"/>
        <n v="950"/>
        <n v="2030"/>
        <n v="2180"/>
        <n v="5950"/>
        <n v="35180"/>
        <n v="6850"/>
        <n v="8660"/>
        <n v="32360"/>
        <n v="8690"/>
        <n v="330"/>
        <n v="150"/>
        <n v="1680"/>
        <n v="35200"/>
        <n v="1020"/>
        <n v="6900"/>
        <n v="8810"/>
        <n v="36740"/>
        <n v="7430"/>
        <n v="1780"/>
        <n v="120"/>
        <n v="60"/>
        <n v="7810"/>
        <n v="1450"/>
        <n v="1250"/>
        <n v="130"/>
        <n v="1500"/>
        <n v="3560"/>
        <n v="5330"/>
        <n v="80"/>
        <n v="1540"/>
        <n v="40"/>
        <n v="3630"/>
        <n v="37940"/>
        <n v="300"/>
        <n v="6070"/>
        <n v="2110"/>
        <n v="4490"/>
        <n v="200"/>
        <n v="41900"/>
        <n v="6150"/>
        <n v="8770"/>
        <n v="50"/>
        <n v="2080"/>
        <n v="1600"/>
        <n v="1270"/>
        <n v="6190"/>
        <n v="70"/>
        <n v="40610"/>
        <n v="35980"/>
        <n v="1710"/>
        <n v="1050"/>
        <n v="1200"/>
        <n v="1320"/>
        <n v="1370"/>
        <n v="6830"/>
        <n v="1760"/>
        <n v="1470"/>
        <n v="6870"/>
        <n v="110"/>
        <n v="960"/>
        <n v="190"/>
        <n v="1480"/>
        <n v="1720"/>
        <n v="6050"/>
        <n v="8190"/>
        <n v="6370"/>
        <n v="7400"/>
        <n v="4150"/>
        <n v="1220"/>
        <n v="39800"/>
        <n v="6500"/>
        <n v="310"/>
        <n v="1290"/>
        <n v="1460"/>
        <n v="5540"/>
        <n v="5010"/>
        <n v="40160"/>
        <n v="40980"/>
        <n v="7620"/>
        <n v="780"/>
        <n v="4850"/>
        <n v="900"/>
        <n v="38880"/>
        <n v="6860"/>
        <n v="41360"/>
        <n v="4040"/>
        <n v="5910"/>
        <n v="1660"/>
        <n v="180"/>
        <n v="6910"/>
        <n v="170"/>
        <n v="1560"/>
        <n v="1920"/>
        <n v="41750"/>
        <n v="34230"/>
        <n v="8170"/>
        <n v="1040"/>
        <n v="4460"/>
        <n v="38690"/>
        <n v="1120"/>
        <n v="290"/>
        <n v="930"/>
        <n v="1930"/>
        <n v="8980"/>
        <n v="33160"/>
        <n v="7470"/>
        <n v="3520"/>
        <n v="5850"/>
        <n v="35960"/>
        <n v="340"/>
        <n v="34210"/>
        <n v="7550"/>
        <n v="34110"/>
        <n v="30"/>
        <n v="2410"/>
        <n v="2390"/>
        <n v="940"/>
        <n v="2200"/>
        <n v="1030"/>
        <n v="2010"/>
        <n v="6030"/>
        <n v="1060"/>
        <n v="1620"/>
        <m/>
      </sharedItems>
    </cacheField>
    <cacheField name="Discount" numFmtId="0">
      <sharedItems containsString="0" containsBlank="1" containsNumber="1" minValue="0" maxValue="0.15" count="5">
        <n v="0.05"/>
        <n v="0.15"/>
        <n v="0"/>
        <n v="0.1"/>
        <m/>
      </sharedItems>
    </cacheField>
    <cacheField name="Sales_EGP" numFmtId="0">
      <sharedItems containsString="0" containsBlank="1" containsNumber="1" minValue="0" maxValue="167000" count="172">
        <n v="15466"/>
        <n v="5669.5"/>
        <n v="16400"/>
        <n v="7758"/>
        <n v="504"/>
        <n v="114598.5"/>
        <n v="378"/>
        <n v="16120"/>
        <n v="5480"/>
        <n v="1615"/>
        <n v="5785.5"/>
        <n v="4142"/>
        <n v="11900"/>
        <n v="35180"/>
        <n v="12330"/>
        <n v="8660"/>
        <n v="32360"/>
        <n v="11599.5"/>
        <n v="8255.5"/>
        <n v="1254"/>
        <n v="150"/>
        <n v="1596"/>
        <n v="29920"/>
        <n v="2040"/>
        <n v="5865"/>
        <n v="7488.5"/>
        <n v="36740"/>
        <n v="22290"/>
        <n v="3026"/>
        <n v="135"/>
        <n v="480"/>
        <n v="238"/>
        <n v="60"/>
        <n v="31240"/>
        <n v="51"/>
        <n v="2900"/>
        <n v="5000"/>
        <n v="260"/>
        <n v="3000"/>
        <n v="6408"/>
        <n v="6210"/>
        <n v="13591.5"/>
        <n v="5340"/>
        <n v="204"/>
        <n v="1309"/>
        <n v="40"/>
        <n v="13794"/>
        <n v="37940"/>
        <n v="1602"/>
        <n v="855"/>
        <n v="6764"/>
        <n v="5159.5"/>
        <n v="2110"/>
        <n v="4490"/>
        <n v="200"/>
        <n v="39805"/>
        <n v="5227.5"/>
        <n v="7454.5"/>
        <n v="85"/>
        <n v="1450"/>
        <n v="2080"/>
        <n v="1360"/>
        <n v="2540"/>
        <n v="22284"/>
        <n v="210"/>
        <n v="40610"/>
        <n v="108"/>
        <n v="35980"/>
        <n v="5814"/>
        <n v="3150"/>
        <n v="130"/>
        <n v="76"/>
        <n v="2400"/>
        <n v="1320"/>
        <n v="136"/>
        <n v="1233"/>
        <n v="20490"/>
        <n v="7040"/>
        <n v="4410"/>
        <n v="27480"/>
        <n v="140"/>
        <n v="187"/>
        <n v="816"/>
        <n v="541.5"/>
        <n v="3774"/>
        <n v="1720"/>
        <n v="12100"/>
        <n v="120"/>
        <n v="8190"/>
        <n v="90"/>
        <n v="570"/>
        <n v="190"/>
        <n v="12740"/>
        <n v="7030"/>
        <n v="8300"/>
        <n v="1220"/>
        <n v="39800"/>
        <n v="1540"/>
        <n v="6175"/>
        <n v="263.5"/>
        <n v="400"/>
        <n v="2580"/>
        <n v="178.5"/>
        <n v="1387"/>
        <n v="5540"/>
        <n v="10020"/>
        <n v="34136"/>
        <n v="77862"/>
        <n v="7620"/>
        <n v="1560"/>
        <n v="72"/>
        <n v="4365"/>
        <n v="189"/>
        <n v="80"/>
        <n v="1800"/>
        <n v="160"/>
        <n v="77760"/>
        <n v="6860"/>
        <n v="165440"/>
        <n v="240"/>
        <n v="15352"/>
        <n v="11820"/>
        <n v="1411"/>
        <n v="540"/>
        <n v="1188"/>
        <n v="12438"/>
        <n v="252"/>
        <n v="340"/>
        <n v="1326"/>
        <n v="110"/>
        <n v="1920"/>
        <n v="167000"/>
        <n v="310"/>
        <n v="29095.5"/>
        <n v="32680"/>
        <n v="884"/>
        <n v="4460"/>
        <n v="4360"/>
        <n v="77380"/>
        <n v="2240"/>
        <n v="246.5"/>
        <n v="114"/>
        <n v="930"/>
        <n v="3860"/>
        <n v="35920"/>
        <n v="28186"/>
        <n v="13446"/>
        <n v="2992"/>
        <n v="5265"/>
        <n v="630"/>
        <n v="143840"/>
        <n v="289"/>
        <n v="117"/>
        <n v="34210"/>
        <n v="357"/>
        <n v="1164.5"/>
        <n v="7550"/>
        <n v="34110"/>
        <n v="2410"/>
        <n v="2390"/>
        <n v="893"/>
        <n v="2090"/>
        <n v="68"/>
        <n v="3708"/>
        <n v="2010"/>
        <n v="5125.5"/>
        <n v="1007"/>
        <n v="3078"/>
        <n v="320"/>
        <n v="840"/>
        <n v="56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78.0935300926" refreshedBy="ls804" recordCount="181">
  <cacheSource type="worksheet">
    <worksheetSource ref="F1:J1048576" sheet="Sales_Data"/>
  </cacheSource>
  <cacheFields count="5">
    <cacheField name="Category" numFmtId="0">
      <sharedItems containsBlank="1" count="5">
        <s v="Furniture"/>
        <s v="Stationery"/>
        <s v="Electronics"/>
        <s v="Accessories"/>
        <m/>
      </sharedItems>
    </cacheField>
    <cacheField name="Quantity" numFmtId="0">
      <sharedItems containsString="0" containsBlank="1" containsNumber="1" containsInteger="1" minValue="0" maxValue="4" count="5">
        <n v="4"/>
        <n v="1"/>
        <n v="2"/>
        <n v="3"/>
        <m/>
      </sharedItems>
    </cacheField>
    <cacheField name="Unit_Price_EGP" numFmtId="0">
      <sharedItems containsString="0" containsBlank="1" containsNumber="1" containsInteger="1" minValue="0" maxValue="41900" count="133">
        <n v="4070"/>
        <n v="6670"/>
        <n v="8200"/>
        <n v="8620"/>
        <n v="140"/>
        <n v="40210"/>
        <n v="210"/>
        <n v="8060"/>
        <n v="5480"/>
        <n v="950"/>
        <n v="2030"/>
        <n v="2180"/>
        <n v="5950"/>
        <n v="35180"/>
        <n v="6850"/>
        <n v="8660"/>
        <n v="32360"/>
        <n v="8690"/>
        <n v="330"/>
        <n v="150"/>
        <n v="1680"/>
        <n v="35200"/>
        <n v="1020"/>
        <n v="6900"/>
        <n v="8810"/>
        <n v="36740"/>
        <n v="7430"/>
        <n v="1780"/>
        <n v="120"/>
        <n v="60"/>
        <n v="7810"/>
        <n v="1450"/>
        <n v="1250"/>
        <n v="130"/>
        <n v="1500"/>
        <n v="3560"/>
        <n v="5330"/>
        <n v="80"/>
        <n v="1540"/>
        <n v="40"/>
        <n v="3630"/>
        <n v="37940"/>
        <n v="300"/>
        <n v="6070"/>
        <n v="2110"/>
        <n v="4490"/>
        <n v="200"/>
        <n v="41900"/>
        <n v="6150"/>
        <n v="8770"/>
        <n v="50"/>
        <n v="2080"/>
        <n v="1600"/>
        <n v="1270"/>
        <n v="6190"/>
        <n v="70"/>
        <n v="40610"/>
        <n v="35980"/>
        <n v="1710"/>
        <n v="1050"/>
        <n v="1200"/>
        <n v="1320"/>
        <n v="1370"/>
        <n v="6830"/>
        <n v="1760"/>
        <n v="1470"/>
        <n v="6870"/>
        <n v="110"/>
        <n v="960"/>
        <n v="190"/>
        <n v="1480"/>
        <n v="1720"/>
        <n v="6050"/>
        <n v="8190"/>
        <n v="6370"/>
        <n v="7400"/>
        <n v="4150"/>
        <n v="1220"/>
        <n v="39800"/>
        <n v="6500"/>
        <n v="310"/>
        <n v="1290"/>
        <n v="1460"/>
        <n v="5540"/>
        <n v="5010"/>
        <n v="40160"/>
        <n v="40980"/>
        <n v="7620"/>
        <n v="780"/>
        <n v="4850"/>
        <n v="900"/>
        <n v="38880"/>
        <n v="6860"/>
        <n v="41360"/>
        <n v="4040"/>
        <n v="5910"/>
        <n v="1660"/>
        <n v="180"/>
        <n v="6910"/>
        <n v="170"/>
        <n v="1560"/>
        <n v="1920"/>
        <n v="41750"/>
        <n v="34230"/>
        <n v="8170"/>
        <n v="1040"/>
        <n v="4460"/>
        <n v="38690"/>
        <n v="1120"/>
        <n v="290"/>
        <n v="930"/>
        <n v="1930"/>
        <n v="8980"/>
        <n v="33160"/>
        <n v="7470"/>
        <n v="3520"/>
        <n v="5850"/>
        <n v="35960"/>
        <n v="340"/>
        <n v="34210"/>
        <n v="7550"/>
        <n v="34110"/>
        <n v="30"/>
        <n v="2410"/>
        <n v="2390"/>
        <n v="940"/>
        <n v="2200"/>
        <n v="1030"/>
        <n v="2010"/>
        <n v="6030"/>
        <n v="1060"/>
        <n v="1620"/>
        <m/>
      </sharedItems>
    </cacheField>
    <cacheField name="Discount" numFmtId="0">
      <sharedItems containsString="0" containsBlank="1" containsNumber="1" minValue="0" maxValue="0.15" count="5">
        <n v="0.05"/>
        <n v="0.15"/>
        <n v="0"/>
        <n v="0.1"/>
        <m/>
      </sharedItems>
    </cacheField>
    <cacheField name="Sales_EGP" numFmtId="0">
      <sharedItems containsString="0" containsBlank="1" containsNumber="1" minValue="0" maxValue="167000" count="172">
        <n v="15466"/>
        <n v="5669.5"/>
        <n v="16400"/>
        <n v="7758"/>
        <n v="504"/>
        <n v="114598.5"/>
        <n v="378"/>
        <n v="16120"/>
        <n v="5480"/>
        <n v="1615"/>
        <n v="5785.5"/>
        <n v="4142"/>
        <n v="11900"/>
        <n v="35180"/>
        <n v="12330"/>
        <n v="8660"/>
        <n v="32360"/>
        <n v="11599.5"/>
        <n v="8255.5"/>
        <n v="1254"/>
        <n v="150"/>
        <n v="1596"/>
        <n v="29920"/>
        <n v="2040"/>
        <n v="5865"/>
        <n v="7488.5"/>
        <n v="36740"/>
        <n v="22290"/>
        <n v="3026"/>
        <n v="135"/>
        <n v="480"/>
        <n v="238"/>
        <n v="60"/>
        <n v="31240"/>
        <n v="51"/>
        <n v="2900"/>
        <n v="5000"/>
        <n v="260"/>
        <n v="3000"/>
        <n v="6408"/>
        <n v="6210"/>
        <n v="13591.5"/>
        <n v="5340"/>
        <n v="204"/>
        <n v="1309"/>
        <n v="40"/>
        <n v="13794"/>
        <n v="37940"/>
        <n v="1602"/>
        <n v="855"/>
        <n v="6764"/>
        <n v="5159.5"/>
        <n v="2110"/>
        <n v="4490"/>
        <n v="200"/>
        <n v="39805"/>
        <n v="5227.5"/>
        <n v="7454.5"/>
        <n v="85"/>
        <n v="1450"/>
        <n v="2080"/>
        <n v="1360"/>
        <n v="2540"/>
        <n v="22284"/>
        <n v="210"/>
        <n v="40610"/>
        <n v="108"/>
        <n v="35980"/>
        <n v="5814"/>
        <n v="3150"/>
        <n v="130"/>
        <n v="76"/>
        <n v="2400"/>
        <n v="1320"/>
        <n v="136"/>
        <n v="1233"/>
        <n v="20490"/>
        <n v="7040"/>
        <n v="4410"/>
        <n v="27480"/>
        <n v="140"/>
        <n v="187"/>
        <n v="816"/>
        <n v="541.5"/>
        <n v="3774"/>
        <n v="1720"/>
        <n v="12100"/>
        <n v="120"/>
        <n v="8190"/>
        <n v="90"/>
        <n v="570"/>
        <n v="190"/>
        <n v="12740"/>
        <n v="7030"/>
        <n v="8300"/>
        <n v="1220"/>
        <n v="39800"/>
        <n v="1540"/>
        <n v="6175"/>
        <n v="263.5"/>
        <n v="400"/>
        <n v="2580"/>
        <n v="178.5"/>
        <n v="1387"/>
        <n v="5540"/>
        <n v="10020"/>
        <n v="34136"/>
        <n v="77862"/>
        <n v="7620"/>
        <n v="1560"/>
        <n v="72"/>
        <n v="4365"/>
        <n v="189"/>
        <n v="80"/>
        <n v="1800"/>
        <n v="160"/>
        <n v="77760"/>
        <n v="6860"/>
        <n v="165440"/>
        <n v="240"/>
        <n v="15352"/>
        <n v="11820"/>
        <n v="1411"/>
        <n v="540"/>
        <n v="1188"/>
        <n v="12438"/>
        <n v="252"/>
        <n v="340"/>
        <n v="1326"/>
        <n v="110"/>
        <n v="1920"/>
        <n v="167000"/>
        <n v="310"/>
        <n v="29095.5"/>
        <n v="32680"/>
        <n v="884"/>
        <n v="4460"/>
        <n v="4360"/>
        <n v="77380"/>
        <n v="2240"/>
        <n v="246.5"/>
        <n v="114"/>
        <n v="930"/>
        <n v="3860"/>
        <n v="35920"/>
        <n v="28186"/>
        <n v="13446"/>
        <n v="2992"/>
        <n v="5265"/>
        <n v="630"/>
        <n v="143840"/>
        <n v="289"/>
        <n v="117"/>
        <n v="34210"/>
        <n v="357"/>
        <n v="1164.5"/>
        <n v="7550"/>
        <n v="34110"/>
        <n v="2410"/>
        <n v="2390"/>
        <n v="893"/>
        <n v="2090"/>
        <n v="68"/>
        <n v="3708"/>
        <n v="2010"/>
        <n v="5125.5"/>
        <n v="1007"/>
        <n v="3078"/>
        <n v="320"/>
        <n v="840"/>
        <n v="56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78.0964351852" refreshedBy="ls804" recordCount="181">
  <cacheSource type="worksheet">
    <worksheetSource ref="E1:J1048576" sheet="Sales_Data"/>
  </cacheSource>
  <cacheFields count="6">
    <cacheField name="Product" numFmtId="0">
      <sharedItems containsBlank="1" count="9">
        <s v="Office Chair"/>
        <s v="Desk"/>
        <s v="Pen Set"/>
        <s v="Laptop"/>
        <s v="Headphones"/>
        <s v="Water Bottle"/>
        <s v="Backpack"/>
        <s v="Notebook"/>
        <m/>
      </sharedItems>
    </cacheField>
    <cacheField name="Category" numFmtId="0">
      <sharedItems containsBlank="1" count="5">
        <s v="Furniture"/>
        <s v="Stationery"/>
        <s v="Electronics"/>
        <s v="Accessories"/>
        <m/>
      </sharedItems>
    </cacheField>
    <cacheField name="Quantity" numFmtId="0">
      <sharedItems containsString="0" containsBlank="1" containsNumber="1" containsInteger="1" minValue="0" maxValue="4" count="5">
        <n v="4"/>
        <n v="1"/>
        <n v="2"/>
        <n v="3"/>
        <m/>
      </sharedItems>
    </cacheField>
    <cacheField name="Unit_Price_EGP" numFmtId="0">
      <sharedItems containsString="0" containsBlank="1" containsNumber="1" containsInteger="1" minValue="0" maxValue="41900" count="133">
        <n v="4070"/>
        <n v="6670"/>
        <n v="8200"/>
        <n v="8620"/>
        <n v="140"/>
        <n v="40210"/>
        <n v="210"/>
        <n v="8060"/>
        <n v="5480"/>
        <n v="950"/>
        <n v="2030"/>
        <n v="2180"/>
        <n v="5950"/>
        <n v="35180"/>
        <n v="6850"/>
        <n v="8660"/>
        <n v="32360"/>
        <n v="8690"/>
        <n v="330"/>
        <n v="150"/>
        <n v="1680"/>
        <n v="35200"/>
        <n v="1020"/>
        <n v="6900"/>
        <n v="8810"/>
        <n v="36740"/>
        <n v="7430"/>
        <n v="1780"/>
        <n v="120"/>
        <n v="60"/>
        <n v="7810"/>
        <n v="1450"/>
        <n v="1250"/>
        <n v="130"/>
        <n v="1500"/>
        <n v="3560"/>
        <n v="5330"/>
        <n v="80"/>
        <n v="1540"/>
        <n v="40"/>
        <n v="3630"/>
        <n v="37940"/>
        <n v="300"/>
        <n v="6070"/>
        <n v="2110"/>
        <n v="4490"/>
        <n v="200"/>
        <n v="41900"/>
        <n v="6150"/>
        <n v="8770"/>
        <n v="50"/>
        <n v="2080"/>
        <n v="1600"/>
        <n v="1270"/>
        <n v="6190"/>
        <n v="70"/>
        <n v="40610"/>
        <n v="35980"/>
        <n v="1710"/>
        <n v="1050"/>
        <n v="1200"/>
        <n v="1320"/>
        <n v="1370"/>
        <n v="6830"/>
        <n v="1760"/>
        <n v="1470"/>
        <n v="6870"/>
        <n v="110"/>
        <n v="960"/>
        <n v="190"/>
        <n v="1480"/>
        <n v="1720"/>
        <n v="6050"/>
        <n v="8190"/>
        <n v="6370"/>
        <n v="7400"/>
        <n v="4150"/>
        <n v="1220"/>
        <n v="39800"/>
        <n v="6500"/>
        <n v="310"/>
        <n v="1290"/>
        <n v="1460"/>
        <n v="5540"/>
        <n v="5010"/>
        <n v="40160"/>
        <n v="40980"/>
        <n v="7620"/>
        <n v="780"/>
        <n v="4850"/>
        <n v="900"/>
        <n v="38880"/>
        <n v="6860"/>
        <n v="41360"/>
        <n v="4040"/>
        <n v="5910"/>
        <n v="1660"/>
        <n v="180"/>
        <n v="6910"/>
        <n v="170"/>
        <n v="1560"/>
        <n v="1920"/>
        <n v="41750"/>
        <n v="34230"/>
        <n v="8170"/>
        <n v="1040"/>
        <n v="4460"/>
        <n v="38690"/>
        <n v="1120"/>
        <n v="290"/>
        <n v="930"/>
        <n v="1930"/>
        <n v="8980"/>
        <n v="33160"/>
        <n v="7470"/>
        <n v="3520"/>
        <n v="5850"/>
        <n v="35960"/>
        <n v="340"/>
        <n v="34210"/>
        <n v="7550"/>
        <n v="34110"/>
        <n v="30"/>
        <n v="2410"/>
        <n v="2390"/>
        <n v="940"/>
        <n v="2200"/>
        <n v="1030"/>
        <n v="2010"/>
        <n v="6030"/>
        <n v="1060"/>
        <n v="1620"/>
        <m/>
      </sharedItems>
    </cacheField>
    <cacheField name="Discount" numFmtId="0">
      <sharedItems containsString="0" containsBlank="1" containsNumber="1" minValue="0" maxValue="0.15" count="5">
        <n v="0.05"/>
        <n v="0.15"/>
        <n v="0"/>
        <n v="0.1"/>
        <m/>
      </sharedItems>
    </cacheField>
    <cacheField name="Sales_EGP" numFmtId="0">
      <sharedItems containsString="0" containsBlank="1" containsNumber="1" minValue="0" maxValue="167000" count="172">
        <n v="15466"/>
        <n v="5669.5"/>
        <n v="16400"/>
        <n v="7758"/>
        <n v="504"/>
        <n v="114598.5"/>
        <n v="378"/>
        <n v="16120"/>
        <n v="5480"/>
        <n v="1615"/>
        <n v="5785.5"/>
        <n v="4142"/>
        <n v="11900"/>
        <n v="35180"/>
        <n v="12330"/>
        <n v="8660"/>
        <n v="32360"/>
        <n v="11599.5"/>
        <n v="8255.5"/>
        <n v="1254"/>
        <n v="150"/>
        <n v="1596"/>
        <n v="29920"/>
        <n v="2040"/>
        <n v="5865"/>
        <n v="7488.5"/>
        <n v="36740"/>
        <n v="22290"/>
        <n v="3026"/>
        <n v="135"/>
        <n v="480"/>
        <n v="238"/>
        <n v="60"/>
        <n v="31240"/>
        <n v="51"/>
        <n v="2900"/>
        <n v="5000"/>
        <n v="260"/>
        <n v="3000"/>
        <n v="6408"/>
        <n v="6210"/>
        <n v="13591.5"/>
        <n v="5340"/>
        <n v="204"/>
        <n v="1309"/>
        <n v="40"/>
        <n v="13794"/>
        <n v="37940"/>
        <n v="1602"/>
        <n v="855"/>
        <n v="6764"/>
        <n v="5159.5"/>
        <n v="2110"/>
        <n v="4490"/>
        <n v="200"/>
        <n v="39805"/>
        <n v="5227.5"/>
        <n v="7454.5"/>
        <n v="85"/>
        <n v="1450"/>
        <n v="2080"/>
        <n v="1360"/>
        <n v="2540"/>
        <n v="22284"/>
        <n v="210"/>
        <n v="40610"/>
        <n v="108"/>
        <n v="35980"/>
        <n v="5814"/>
        <n v="3150"/>
        <n v="130"/>
        <n v="76"/>
        <n v="2400"/>
        <n v="1320"/>
        <n v="136"/>
        <n v="1233"/>
        <n v="20490"/>
        <n v="7040"/>
        <n v="4410"/>
        <n v="27480"/>
        <n v="140"/>
        <n v="187"/>
        <n v="816"/>
        <n v="541.5"/>
        <n v="3774"/>
        <n v="1720"/>
        <n v="12100"/>
        <n v="120"/>
        <n v="8190"/>
        <n v="90"/>
        <n v="570"/>
        <n v="190"/>
        <n v="12740"/>
        <n v="7030"/>
        <n v="8300"/>
        <n v="1220"/>
        <n v="39800"/>
        <n v="1540"/>
        <n v="6175"/>
        <n v="263.5"/>
        <n v="400"/>
        <n v="2580"/>
        <n v="178.5"/>
        <n v="1387"/>
        <n v="5540"/>
        <n v="10020"/>
        <n v="34136"/>
        <n v="77862"/>
        <n v="7620"/>
        <n v="1560"/>
        <n v="72"/>
        <n v="4365"/>
        <n v="189"/>
        <n v="80"/>
        <n v="1800"/>
        <n v="160"/>
        <n v="77760"/>
        <n v="6860"/>
        <n v="165440"/>
        <n v="240"/>
        <n v="15352"/>
        <n v="11820"/>
        <n v="1411"/>
        <n v="540"/>
        <n v="1188"/>
        <n v="12438"/>
        <n v="252"/>
        <n v="340"/>
        <n v="1326"/>
        <n v="110"/>
        <n v="1920"/>
        <n v="167000"/>
        <n v="310"/>
        <n v="29095.5"/>
        <n v="32680"/>
        <n v="884"/>
        <n v="4460"/>
        <n v="4360"/>
        <n v="77380"/>
        <n v="2240"/>
        <n v="246.5"/>
        <n v="114"/>
        <n v="930"/>
        <n v="3860"/>
        <n v="35920"/>
        <n v="28186"/>
        <n v="13446"/>
        <n v="2992"/>
        <n v="5265"/>
        <n v="630"/>
        <n v="143840"/>
        <n v="289"/>
        <n v="117"/>
        <n v="34210"/>
        <n v="357"/>
        <n v="1164.5"/>
        <n v="7550"/>
        <n v="34110"/>
        <n v="2410"/>
        <n v="2390"/>
        <n v="893"/>
        <n v="2090"/>
        <n v="68"/>
        <n v="3708"/>
        <n v="2010"/>
        <n v="5125.5"/>
        <n v="1007"/>
        <n v="3078"/>
        <n v="320"/>
        <n v="840"/>
        <n v="56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78.0992361111" refreshedBy="ls804" recordCount="181">
  <cacheSource type="worksheet">
    <worksheetSource ref="D1:J1048576" sheet="Sales_Data"/>
  </cacheSource>
  <cacheFields count="7">
    <cacheField name="Channel" numFmtId="0">
      <sharedItems containsBlank="1" count="3">
        <s v="Store"/>
        <s v="Online"/>
        <m/>
      </sharedItems>
    </cacheField>
    <cacheField name="Product" numFmtId="0">
      <sharedItems containsBlank="1" count="9">
        <s v="Office Chair"/>
        <s v="Desk"/>
        <s v="Pen Set"/>
        <s v="Laptop"/>
        <s v="Headphones"/>
        <s v="Water Bottle"/>
        <s v="Backpack"/>
        <s v="Notebook"/>
        <m/>
      </sharedItems>
    </cacheField>
    <cacheField name="Category" numFmtId="0">
      <sharedItems containsBlank="1" count="5">
        <s v="Furniture"/>
        <s v="Stationery"/>
        <s v="Electronics"/>
        <s v="Accessories"/>
        <m/>
      </sharedItems>
    </cacheField>
    <cacheField name="Quantity" numFmtId="0">
      <sharedItems containsString="0" containsBlank="1" containsNumber="1" containsInteger="1" minValue="0" maxValue="4" count="5">
        <n v="4"/>
        <n v="1"/>
        <n v="2"/>
        <n v="3"/>
        <m/>
      </sharedItems>
    </cacheField>
    <cacheField name="Unit_Price_EGP" numFmtId="0">
      <sharedItems containsString="0" containsBlank="1" containsNumber="1" containsInteger="1" minValue="0" maxValue="41900" count="133">
        <n v="4070"/>
        <n v="6670"/>
        <n v="8200"/>
        <n v="8620"/>
        <n v="140"/>
        <n v="40210"/>
        <n v="210"/>
        <n v="8060"/>
        <n v="5480"/>
        <n v="950"/>
        <n v="2030"/>
        <n v="2180"/>
        <n v="5950"/>
        <n v="35180"/>
        <n v="6850"/>
        <n v="8660"/>
        <n v="32360"/>
        <n v="8690"/>
        <n v="330"/>
        <n v="150"/>
        <n v="1680"/>
        <n v="35200"/>
        <n v="1020"/>
        <n v="6900"/>
        <n v="8810"/>
        <n v="36740"/>
        <n v="7430"/>
        <n v="1780"/>
        <n v="120"/>
        <n v="60"/>
        <n v="7810"/>
        <n v="1450"/>
        <n v="1250"/>
        <n v="130"/>
        <n v="1500"/>
        <n v="3560"/>
        <n v="5330"/>
        <n v="80"/>
        <n v="1540"/>
        <n v="40"/>
        <n v="3630"/>
        <n v="37940"/>
        <n v="300"/>
        <n v="6070"/>
        <n v="2110"/>
        <n v="4490"/>
        <n v="200"/>
        <n v="41900"/>
        <n v="6150"/>
        <n v="8770"/>
        <n v="50"/>
        <n v="2080"/>
        <n v="1600"/>
        <n v="1270"/>
        <n v="6190"/>
        <n v="70"/>
        <n v="40610"/>
        <n v="35980"/>
        <n v="1710"/>
        <n v="1050"/>
        <n v="1200"/>
        <n v="1320"/>
        <n v="1370"/>
        <n v="6830"/>
        <n v="1760"/>
        <n v="1470"/>
        <n v="6870"/>
        <n v="110"/>
        <n v="960"/>
        <n v="190"/>
        <n v="1480"/>
        <n v="1720"/>
        <n v="6050"/>
        <n v="8190"/>
        <n v="6370"/>
        <n v="7400"/>
        <n v="4150"/>
        <n v="1220"/>
        <n v="39800"/>
        <n v="6500"/>
        <n v="310"/>
        <n v="1290"/>
        <n v="1460"/>
        <n v="5540"/>
        <n v="5010"/>
        <n v="40160"/>
        <n v="40980"/>
        <n v="7620"/>
        <n v="780"/>
        <n v="4850"/>
        <n v="900"/>
        <n v="38880"/>
        <n v="6860"/>
        <n v="41360"/>
        <n v="4040"/>
        <n v="5910"/>
        <n v="1660"/>
        <n v="180"/>
        <n v="6910"/>
        <n v="170"/>
        <n v="1560"/>
        <n v="1920"/>
        <n v="41750"/>
        <n v="34230"/>
        <n v="8170"/>
        <n v="1040"/>
        <n v="4460"/>
        <n v="38690"/>
        <n v="1120"/>
        <n v="290"/>
        <n v="930"/>
        <n v="1930"/>
        <n v="8980"/>
        <n v="33160"/>
        <n v="7470"/>
        <n v="3520"/>
        <n v="5850"/>
        <n v="35960"/>
        <n v="340"/>
        <n v="34210"/>
        <n v="7550"/>
        <n v="34110"/>
        <n v="30"/>
        <n v="2410"/>
        <n v="2390"/>
        <n v="940"/>
        <n v="2200"/>
        <n v="1030"/>
        <n v="2010"/>
        <n v="6030"/>
        <n v="1060"/>
        <n v="1620"/>
        <m/>
      </sharedItems>
    </cacheField>
    <cacheField name="Discount" numFmtId="0">
      <sharedItems containsString="0" containsBlank="1" containsNumber="1" minValue="0" maxValue="0.15" count="5">
        <n v="0.05"/>
        <n v="0.15"/>
        <n v="0"/>
        <n v="0.1"/>
        <m/>
      </sharedItems>
    </cacheField>
    <cacheField name="Sales_EGP" numFmtId="0">
      <sharedItems containsString="0" containsBlank="1" containsNumber="1" minValue="0" maxValue="167000" count="172">
        <n v="15466"/>
        <n v="5669.5"/>
        <n v="16400"/>
        <n v="7758"/>
        <n v="504"/>
        <n v="114598.5"/>
        <n v="378"/>
        <n v="16120"/>
        <n v="5480"/>
        <n v="1615"/>
        <n v="5785.5"/>
        <n v="4142"/>
        <n v="11900"/>
        <n v="35180"/>
        <n v="12330"/>
        <n v="8660"/>
        <n v="32360"/>
        <n v="11599.5"/>
        <n v="8255.5"/>
        <n v="1254"/>
        <n v="150"/>
        <n v="1596"/>
        <n v="29920"/>
        <n v="2040"/>
        <n v="5865"/>
        <n v="7488.5"/>
        <n v="36740"/>
        <n v="22290"/>
        <n v="3026"/>
        <n v="135"/>
        <n v="480"/>
        <n v="238"/>
        <n v="60"/>
        <n v="31240"/>
        <n v="51"/>
        <n v="2900"/>
        <n v="5000"/>
        <n v="260"/>
        <n v="3000"/>
        <n v="6408"/>
        <n v="6210"/>
        <n v="13591.5"/>
        <n v="5340"/>
        <n v="204"/>
        <n v="1309"/>
        <n v="40"/>
        <n v="13794"/>
        <n v="37940"/>
        <n v="1602"/>
        <n v="855"/>
        <n v="6764"/>
        <n v="5159.5"/>
        <n v="2110"/>
        <n v="4490"/>
        <n v="200"/>
        <n v="39805"/>
        <n v="5227.5"/>
        <n v="7454.5"/>
        <n v="85"/>
        <n v="1450"/>
        <n v="2080"/>
        <n v="1360"/>
        <n v="2540"/>
        <n v="22284"/>
        <n v="210"/>
        <n v="40610"/>
        <n v="108"/>
        <n v="35980"/>
        <n v="5814"/>
        <n v="3150"/>
        <n v="130"/>
        <n v="76"/>
        <n v="2400"/>
        <n v="1320"/>
        <n v="136"/>
        <n v="1233"/>
        <n v="20490"/>
        <n v="7040"/>
        <n v="4410"/>
        <n v="27480"/>
        <n v="140"/>
        <n v="187"/>
        <n v="816"/>
        <n v="541.5"/>
        <n v="3774"/>
        <n v="1720"/>
        <n v="12100"/>
        <n v="120"/>
        <n v="8190"/>
        <n v="90"/>
        <n v="570"/>
        <n v="190"/>
        <n v="12740"/>
        <n v="7030"/>
        <n v="8300"/>
        <n v="1220"/>
        <n v="39800"/>
        <n v="1540"/>
        <n v="6175"/>
        <n v="263.5"/>
        <n v="400"/>
        <n v="2580"/>
        <n v="178.5"/>
        <n v="1387"/>
        <n v="5540"/>
        <n v="10020"/>
        <n v="34136"/>
        <n v="77862"/>
        <n v="7620"/>
        <n v="1560"/>
        <n v="72"/>
        <n v="4365"/>
        <n v="189"/>
        <n v="80"/>
        <n v="1800"/>
        <n v="160"/>
        <n v="77760"/>
        <n v="6860"/>
        <n v="165440"/>
        <n v="240"/>
        <n v="15352"/>
        <n v="11820"/>
        <n v="1411"/>
        <n v="540"/>
        <n v="1188"/>
        <n v="12438"/>
        <n v="252"/>
        <n v="340"/>
        <n v="1326"/>
        <n v="110"/>
        <n v="1920"/>
        <n v="167000"/>
        <n v="310"/>
        <n v="29095.5"/>
        <n v="32680"/>
        <n v="884"/>
        <n v="4460"/>
        <n v="4360"/>
        <n v="77380"/>
        <n v="2240"/>
        <n v="246.5"/>
        <n v="114"/>
        <n v="930"/>
        <n v="3860"/>
        <n v="35920"/>
        <n v="28186"/>
        <n v="13446"/>
        <n v="2992"/>
        <n v="5265"/>
        <n v="630"/>
        <n v="143840"/>
        <n v="289"/>
        <n v="117"/>
        <n v="34210"/>
        <n v="357"/>
        <n v="1164.5"/>
        <n v="7550"/>
        <n v="34110"/>
        <n v="2410"/>
        <n v="2390"/>
        <n v="893"/>
        <n v="2090"/>
        <n v="68"/>
        <n v="3708"/>
        <n v="2010"/>
        <n v="5125.5"/>
        <n v="1007"/>
        <n v="3078"/>
        <n v="320"/>
        <n v="840"/>
        <n v="560"/>
        <m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78.6058680556" refreshedBy="ls804" recordCount="181">
  <cacheSource type="worksheet">
    <worksheetSource ref="E1:G1048576" sheet="Sales_Data"/>
  </cacheSource>
  <cacheFields count="3">
    <cacheField name="Product" numFmtId="0">
      <sharedItems containsBlank="1" count="9">
        <s v="Office Chair"/>
        <s v="Desk"/>
        <s v="Pen Set"/>
        <s v="Laptop"/>
        <s v="Headphones"/>
        <s v="Water Bottle"/>
        <s v="Backpack"/>
        <s v="Notebook"/>
        <m/>
      </sharedItems>
    </cacheField>
    <cacheField name="Category" numFmtId="0">
      <sharedItems containsBlank="1" count="5">
        <s v="Furniture"/>
        <s v="Stationery"/>
        <s v="Electronics"/>
        <s v="Accessories"/>
        <m/>
      </sharedItems>
    </cacheField>
    <cacheField name="Quantity" numFmtId="0">
      <sharedItems containsString="0" containsBlank="1" containsNumber="1" containsInteger="1" minValue="0" maxValue="4" count="5">
        <n v="4"/>
        <n v="1"/>
        <n v="2"/>
        <n v="3"/>
        <m/>
      </sharedItems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78.6088541667" refreshedBy="ls804" recordCount="181">
  <cacheSource type="worksheet">
    <worksheetSource ref="E1:I1048576" sheet="Sales_Data"/>
  </cacheSource>
  <cacheFields count="5">
    <cacheField name="Product" numFmtId="0">
      <sharedItems containsBlank="1" count="9">
        <s v="Office Chair"/>
        <s v="Desk"/>
        <s v="Pen Set"/>
        <s v="Laptop"/>
        <s v="Headphones"/>
        <s v="Water Bottle"/>
        <s v="Backpack"/>
        <s v="Notebook"/>
        <m/>
      </sharedItems>
    </cacheField>
    <cacheField name="Category" numFmtId="0">
      <sharedItems containsBlank="1" count="5">
        <s v="Furniture"/>
        <s v="Stationery"/>
        <s v="Electronics"/>
        <s v="Accessories"/>
        <m/>
      </sharedItems>
    </cacheField>
    <cacheField name="Quantity" numFmtId="0">
      <sharedItems containsString="0" containsBlank="1" containsNumber="1" containsInteger="1" minValue="0" maxValue="4" count="5">
        <n v="4"/>
        <n v="1"/>
        <n v="2"/>
        <n v="3"/>
        <m/>
      </sharedItems>
    </cacheField>
    <cacheField name="Unit_Price_EGP" numFmtId="0">
      <sharedItems containsString="0" containsBlank="1" containsNumber="1" containsInteger="1" minValue="0" maxValue="41900" count="133">
        <n v="4070"/>
        <n v="6670"/>
        <n v="8200"/>
        <n v="8620"/>
        <n v="140"/>
        <n v="40210"/>
        <n v="210"/>
        <n v="8060"/>
        <n v="5480"/>
        <n v="950"/>
        <n v="2030"/>
        <n v="2180"/>
        <n v="5950"/>
        <n v="35180"/>
        <n v="6850"/>
        <n v="8660"/>
        <n v="32360"/>
        <n v="8690"/>
        <n v="330"/>
        <n v="150"/>
        <n v="1680"/>
        <n v="35200"/>
        <n v="1020"/>
        <n v="6900"/>
        <n v="8810"/>
        <n v="36740"/>
        <n v="7430"/>
        <n v="1780"/>
        <n v="120"/>
        <n v="60"/>
        <n v="7810"/>
        <n v="1450"/>
        <n v="1250"/>
        <n v="130"/>
        <n v="1500"/>
        <n v="3560"/>
        <n v="5330"/>
        <n v="80"/>
        <n v="1540"/>
        <n v="40"/>
        <n v="3630"/>
        <n v="37940"/>
        <n v="300"/>
        <n v="6070"/>
        <n v="2110"/>
        <n v="4490"/>
        <n v="200"/>
        <n v="41900"/>
        <n v="6150"/>
        <n v="8770"/>
        <n v="50"/>
        <n v="2080"/>
        <n v="1600"/>
        <n v="1270"/>
        <n v="6190"/>
        <n v="70"/>
        <n v="40610"/>
        <n v="35980"/>
        <n v="1710"/>
        <n v="1050"/>
        <n v="1200"/>
        <n v="1320"/>
        <n v="1370"/>
        <n v="6830"/>
        <n v="1760"/>
        <n v="1470"/>
        <n v="6870"/>
        <n v="110"/>
        <n v="960"/>
        <n v="190"/>
        <n v="1480"/>
        <n v="1720"/>
        <n v="6050"/>
        <n v="8190"/>
        <n v="6370"/>
        <n v="7400"/>
        <n v="4150"/>
        <n v="1220"/>
        <n v="39800"/>
        <n v="6500"/>
        <n v="310"/>
        <n v="1290"/>
        <n v="1460"/>
        <n v="5540"/>
        <n v="5010"/>
        <n v="40160"/>
        <n v="40980"/>
        <n v="7620"/>
        <n v="780"/>
        <n v="4850"/>
        <n v="900"/>
        <n v="38880"/>
        <n v="6860"/>
        <n v="41360"/>
        <n v="4040"/>
        <n v="5910"/>
        <n v="1660"/>
        <n v="180"/>
        <n v="6910"/>
        <n v="170"/>
        <n v="1560"/>
        <n v="1920"/>
        <n v="41750"/>
        <n v="34230"/>
        <n v="8170"/>
        <n v="1040"/>
        <n v="4460"/>
        <n v="38690"/>
        <n v="1120"/>
        <n v="290"/>
        <n v="930"/>
        <n v="1930"/>
        <n v="8980"/>
        <n v="33160"/>
        <n v="7470"/>
        <n v="3520"/>
        <n v="5850"/>
        <n v="35960"/>
        <n v="340"/>
        <n v="34210"/>
        <n v="7550"/>
        <n v="34110"/>
        <n v="30"/>
        <n v="2410"/>
        <n v="2390"/>
        <n v="940"/>
        <n v="2200"/>
        <n v="1030"/>
        <n v="2010"/>
        <n v="6030"/>
        <n v="1060"/>
        <n v="1620"/>
        <m/>
      </sharedItems>
    </cacheField>
    <cacheField name="Discount" numFmtId="0">
      <sharedItems containsString="0" containsBlank="1" containsNumber="1" minValue="0" maxValue="0.15" count="5">
        <n v="0.05"/>
        <n v="0.15"/>
        <n v="0"/>
        <n v="0.1"/>
        <m/>
      </sharedItems>
    </cacheField>
  </cacheFields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78.610474537" refreshedBy="ls804" recordCount="181">
  <cacheSource type="worksheet">
    <worksheetSource ref="A1:J1048576" sheet="Sales_Data"/>
  </cacheSource>
  <cacheFields count="10">
    <cacheField name="Order_ID" numFmtId="0">
      <sharedItems containsBlank="1" count="181">
        <s v="ORD-1123"/>
        <s v="ORD-1019"/>
        <s v="ORD-1065"/>
        <s v="ORD-1168"/>
        <s v="ORD-1069"/>
        <s v="ORD-1124"/>
        <s v="ORD-1104"/>
        <s v="ORD-1057"/>
        <s v="ORD-1049"/>
        <s v="ORD-1092"/>
        <s v="ORD-1109"/>
        <s v="ORD-1144"/>
        <s v="ORD-1074"/>
        <s v="ORD-1048"/>
        <s v="ORD-1032"/>
        <s v="ORD-1087"/>
        <s v="ORD-1077"/>
        <s v="ORD-1004"/>
        <s v="ORD-1129"/>
        <s v="ORD-1044"/>
        <s v="ORD-1024"/>
        <s v="ORD-1041"/>
        <s v="ORD-1007"/>
        <s v="ORD-1027"/>
        <s v="ORD-1082"/>
        <s v="ORD-1127"/>
        <s v="ORD-1165"/>
        <s v="ORD-1155"/>
        <s v="ORD-1106"/>
        <s v="ORD-1154"/>
        <s v="ORD-1148"/>
        <s v="ORD-1142"/>
        <s v="ORD-1159"/>
        <s v="ORD-1102"/>
        <s v="ORD-1111"/>
        <s v="ORD-1059"/>
        <s v="ORD-1119"/>
        <s v="ORD-1143"/>
        <s v="ORD-1115"/>
        <s v="ORD-1022"/>
        <s v="ORD-1078"/>
        <s v="ORD-1105"/>
        <s v="ORD-1085"/>
        <s v="ORD-1131"/>
        <s v="ORD-1157"/>
        <s v="ORD-1072"/>
        <s v="ORD-1151"/>
        <s v="ORD-1088"/>
        <s v="ORD-1076"/>
        <s v="ORD-1112"/>
        <s v="ORD-1029"/>
        <s v="ORD-1062"/>
        <s v="ORD-1034"/>
        <s v="ORD-1174"/>
        <s v="ORD-1039"/>
        <s v="ORD-1136"/>
        <s v="ORD-1081"/>
        <s v="ORD-1051"/>
        <s v="ORD-1018"/>
        <s v="ORD-1070"/>
        <s v="ORD-1067"/>
        <s v="ORD-1036"/>
        <s v="ORD-1026"/>
        <s v="ORD-1030"/>
        <s v="ORD-1177"/>
        <s v="ORD-1047"/>
        <s v="ORD-1114"/>
        <s v="ORD-1152"/>
        <s v="ORD-1172"/>
        <s v="ORD-1134"/>
        <s v="ORD-1096"/>
        <s v="ORD-1037"/>
        <s v="ORD-1089"/>
        <s v="ORD-1149"/>
        <s v="ORD-1146"/>
        <s v="ORD-1091"/>
        <s v="ORD-1108"/>
        <s v="ORD-1006"/>
        <s v="ORD-1042"/>
        <s v="ORD-1160"/>
        <s v="ORD-1010"/>
        <s v="ORD-1060"/>
        <s v="ORD-1098"/>
        <s v="ORD-1079"/>
        <s v="ORD-1158"/>
        <s v="ORD-1053"/>
        <s v="ORD-1147"/>
        <s v="ORD-1020"/>
        <s v="ORD-1093"/>
        <s v="ORD-1011"/>
        <s v="ORD-1090"/>
        <s v="ORD-1028"/>
        <s v="ORD-1046"/>
        <s v="ORD-1050"/>
        <s v="ORD-1130"/>
        <s v="ORD-1054"/>
        <s v="ORD-1162"/>
        <s v="ORD-1003"/>
        <s v="ORD-1075"/>
        <s v="ORD-1135"/>
        <s v="ORD-1137"/>
        <s v="ORD-1180"/>
        <s v="ORD-1116"/>
        <s v="ORD-1013"/>
        <s v="ORD-1120"/>
        <s v="ORD-1169"/>
        <s v="ORD-1001"/>
        <s v="ORD-1126"/>
        <s v="ORD-1008"/>
        <s v="ORD-1063"/>
        <s v="ORD-1118"/>
        <s v="ORD-1014"/>
        <s v="ORD-1068"/>
        <s v="ORD-1005"/>
        <s v="ORD-1156"/>
        <s v="ORD-1035"/>
        <s v="ORD-1080"/>
        <s v="ORD-1055"/>
        <s v="ORD-1167"/>
        <s v="ORD-1012"/>
        <s v="ORD-1178"/>
        <s v="ORD-1166"/>
        <s v="ORD-1164"/>
        <s v="ORD-1009"/>
        <s v="ORD-1103"/>
        <s v="ORD-1084"/>
        <s v="ORD-1132"/>
        <s v="ORD-1161"/>
        <s v="ORD-1094"/>
        <s v="ORD-1163"/>
        <s v="ORD-1052"/>
        <s v="ORD-1023"/>
        <s v="ORD-1038"/>
        <s v="ORD-1016"/>
        <s v="ORD-1122"/>
        <s v="ORD-1064"/>
        <s v="ORD-1045"/>
        <s v="ORD-1138"/>
        <s v="ORD-1153"/>
        <s v="ORD-1066"/>
        <s v="ORD-1107"/>
        <s v="ORD-1040"/>
        <s v="ORD-1099"/>
        <s v="ORD-1095"/>
        <s v="ORD-1171"/>
        <s v="ORD-1128"/>
        <s v="ORD-1097"/>
        <s v="ORD-1125"/>
        <s v="ORD-1140"/>
        <s v="ORD-1071"/>
        <s v="ORD-1017"/>
        <s v="ORD-1139"/>
        <s v="ORD-1113"/>
        <s v="ORD-1176"/>
        <s v="ORD-1015"/>
        <s v="ORD-1083"/>
        <s v="ORD-1170"/>
        <s v="ORD-1086"/>
        <s v="ORD-1021"/>
        <s v="ORD-1179"/>
        <s v="ORD-1145"/>
        <s v="ORD-1025"/>
        <s v="ORD-1073"/>
        <s v="ORD-1110"/>
        <s v="ORD-1101"/>
        <s v="ORD-1100"/>
        <s v="ORD-1061"/>
        <s v="ORD-1173"/>
        <s v="ORD-1043"/>
        <s v="ORD-1031"/>
        <s v="ORD-1150"/>
        <s v="ORD-1141"/>
        <s v="ORD-1056"/>
        <s v="ORD-1175"/>
        <s v="ORD-1117"/>
        <s v="ORD-1121"/>
        <s v="ORD-1033"/>
        <s v="ORD-1058"/>
        <s v="ORD-1133"/>
        <s v="ORD-1002"/>
        <m/>
      </sharedItems>
    </cacheField>
    <cacheField name="Order_Date" numFmtId="0">
      <sharedItems containsString="0" containsBlank="1" containsNonDate="0" containsDate="1" minDate="2026-01-01T00:00:00" maxDate="2026-06-29T00:00:00" count="110">
        <d v="2026-01-01T00:00:00"/>
        <d v="2026-01-02T00:00:00"/>
        <d v="2026-01-03T00:00:00"/>
        <d v="2026-01-04T00:00:00"/>
        <d v="2026-01-05T00:00:00"/>
        <d v="2026-01-08T00:00:00"/>
        <d v="2026-01-09T00:00:00"/>
        <d v="2026-01-12T00:00:00"/>
        <d v="2026-01-13T00:00:00"/>
        <d v="2026-01-14T00:00:00"/>
        <d v="2026-01-15T00:00:00"/>
        <d v="2026-01-18T00:00:00"/>
        <d v="2026-01-21T00:00:00"/>
        <d v="2026-01-22T00:00:00"/>
        <d v="2026-01-24T00:00:00"/>
        <d v="2026-01-27T00:00:00"/>
        <d v="2026-01-28T00:00:00"/>
        <d v="2026-01-29T00:00:00"/>
        <d v="2026-01-30T00:00:00"/>
        <d v="2026-02-02T00:00:00"/>
        <d v="2026-02-04T00:00:00"/>
        <d v="2026-02-05T00:00:00"/>
        <d v="2026-02-06T00:00:00"/>
        <d v="2026-02-07T00:00:00"/>
        <d v="2026-02-09T00:00:00"/>
        <d v="2026-02-10T00:00:00"/>
        <d v="2026-02-11T00:00:00"/>
        <d v="2026-02-13T00:00:00"/>
        <d v="2026-02-14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7T00:00:00"/>
        <d v="2026-02-28T00:00:00"/>
        <d v="2026-03-01T00:00:00"/>
        <d v="2026-03-03T00:00:00"/>
        <d v="2026-03-04T00:00:00"/>
        <d v="2026-03-05T00:00:00"/>
        <d v="2026-03-06T00:00:00"/>
        <d v="2026-03-07T00:00:00"/>
        <d v="2026-03-12T00:00:00"/>
        <d v="2026-03-13T00:00:00"/>
        <d v="2026-03-14T00:00:00"/>
        <d v="2026-03-16T00:00:00"/>
        <d v="2026-03-22T00:00:00"/>
        <d v="2026-03-23T00:00:00"/>
        <d v="2026-03-25T00:00:00"/>
        <d v="2026-03-27T00:00:00"/>
        <d v="2026-03-29T00:00:00"/>
        <d v="2026-03-30T00:00:00"/>
        <d v="2026-03-31T00:00:00"/>
        <d v="2026-04-02T00:00:00"/>
        <d v="2026-04-03T00:00:00"/>
        <d v="2026-04-05T00:00:00"/>
        <d v="2026-04-06T00:00:00"/>
        <d v="2026-04-09T00:00:00"/>
        <d v="2026-04-10T00:00:00"/>
        <d v="2026-04-11T00:00:00"/>
        <d v="2026-04-13T00:00:00"/>
        <d v="2026-04-14T00:00:00"/>
        <d v="2026-04-16T00:00:00"/>
        <d v="2026-04-17T00:00:00"/>
        <d v="2026-04-18T00:00:00"/>
        <d v="2026-04-21T00:00:00"/>
        <d v="2026-04-26T00:00:00"/>
        <d v="2026-04-27T00:00:00"/>
        <d v="2026-04-28T00:00:00"/>
        <d v="2026-05-01T00:00:00"/>
        <d v="2026-05-02T00:00:00"/>
        <d v="2026-05-03T00:00:00"/>
        <d v="2026-05-04T00:00:00"/>
        <d v="2026-05-08T00:00:00"/>
        <d v="2026-05-09T00:00:00"/>
        <d v="2026-05-10T00:00:00"/>
        <d v="2026-05-11T00:00:00"/>
        <d v="2026-05-12T00:00:00"/>
        <d v="2026-05-14T00:00:00"/>
        <d v="2026-05-15T00:00:00"/>
        <d v="2026-05-16T00:00:00"/>
        <d v="2026-05-17T00:00:00"/>
        <d v="2026-05-19T00:00:00"/>
        <d v="2026-05-22T00:00:00"/>
        <d v="2026-05-23T00:00:00"/>
        <d v="2026-05-26T00:00:00"/>
        <d v="2026-05-30T00:00:00"/>
        <d v="2026-05-31T00:00:00"/>
        <d v="2026-06-01T00:00:00"/>
        <d v="2026-06-03T00:00:00"/>
        <d v="2026-06-04T00:00:00"/>
        <d v="2026-06-06T00:00:00"/>
        <d v="2026-06-07T00:00:00"/>
        <d v="2026-06-09T00:00:00"/>
        <d v="2026-06-10T00:00:00"/>
        <d v="2026-06-11T00:00:00"/>
        <d v="2026-06-12T00:00:00"/>
        <d v="2026-06-13T00:00:00"/>
        <d v="2026-06-14T00:00:00"/>
        <d v="2026-06-16T00:00:00"/>
        <d v="2026-06-19T00:00:00"/>
        <d v="2026-06-20T00:00:00"/>
        <d v="2026-06-21T00:00:00"/>
        <d v="2026-06-24T00:00:00"/>
        <d v="2026-06-28T00:00:00"/>
        <d v="2026-06-29T00:00:00"/>
        <m/>
      </sharedItems>
    </cacheField>
    <cacheField name="Region" numFmtId="0">
      <sharedItems containsBlank="1" count="6">
        <s v="Giza"/>
        <s v="Cairo"/>
        <s v="Alexandria"/>
        <s v="Aswan"/>
        <s v="Mansoura"/>
        <m/>
      </sharedItems>
    </cacheField>
    <cacheField name="Channel" numFmtId="0">
      <sharedItems containsBlank="1" count="3">
        <s v="Store"/>
        <s v="Online"/>
        <m/>
      </sharedItems>
    </cacheField>
    <cacheField name="Product" numFmtId="0">
      <sharedItems containsBlank="1" count="9">
        <s v="Office Chair"/>
        <s v="Desk"/>
        <s v="Pen Set"/>
        <s v="Laptop"/>
        <s v="Headphones"/>
        <s v="Water Bottle"/>
        <s v="Backpack"/>
        <s v="Notebook"/>
        <m/>
      </sharedItems>
    </cacheField>
    <cacheField name="Category" numFmtId="0">
      <sharedItems containsBlank="1" count="5">
        <s v="Furniture"/>
        <s v="Stationery"/>
        <s v="Electronics"/>
        <s v="Accessories"/>
        <m/>
      </sharedItems>
    </cacheField>
    <cacheField name="Quantity" numFmtId="0">
      <sharedItems containsString="0" containsBlank="1" containsNumber="1" containsInteger="1" minValue="0" maxValue="4" count="5">
        <n v="4"/>
        <n v="1"/>
        <n v="2"/>
        <n v="3"/>
        <m/>
      </sharedItems>
    </cacheField>
    <cacheField name="Unit_Price_EGP" numFmtId="0">
      <sharedItems containsString="0" containsBlank="1" containsNumber="1" containsInteger="1" minValue="0" maxValue="41900" count="133">
        <n v="4070"/>
        <n v="6670"/>
        <n v="8200"/>
        <n v="8620"/>
        <n v="140"/>
        <n v="40210"/>
        <n v="210"/>
        <n v="8060"/>
        <n v="5480"/>
        <n v="950"/>
        <n v="2030"/>
        <n v="2180"/>
        <n v="5950"/>
        <n v="35180"/>
        <n v="6850"/>
        <n v="8660"/>
        <n v="32360"/>
        <n v="8690"/>
        <n v="330"/>
        <n v="150"/>
        <n v="1680"/>
        <n v="35200"/>
        <n v="1020"/>
        <n v="6900"/>
        <n v="8810"/>
        <n v="36740"/>
        <n v="7430"/>
        <n v="1780"/>
        <n v="120"/>
        <n v="60"/>
        <n v="7810"/>
        <n v="1450"/>
        <n v="1250"/>
        <n v="130"/>
        <n v="1500"/>
        <n v="3560"/>
        <n v="5330"/>
        <n v="80"/>
        <n v="1540"/>
        <n v="40"/>
        <n v="3630"/>
        <n v="37940"/>
        <n v="300"/>
        <n v="6070"/>
        <n v="2110"/>
        <n v="4490"/>
        <n v="200"/>
        <n v="41900"/>
        <n v="6150"/>
        <n v="8770"/>
        <n v="50"/>
        <n v="2080"/>
        <n v="1600"/>
        <n v="1270"/>
        <n v="6190"/>
        <n v="70"/>
        <n v="40610"/>
        <n v="35980"/>
        <n v="1710"/>
        <n v="1050"/>
        <n v="1200"/>
        <n v="1320"/>
        <n v="1370"/>
        <n v="6830"/>
        <n v="1760"/>
        <n v="1470"/>
        <n v="6870"/>
        <n v="110"/>
        <n v="960"/>
        <n v="190"/>
        <n v="1480"/>
        <n v="1720"/>
        <n v="6050"/>
        <n v="8190"/>
        <n v="6370"/>
        <n v="7400"/>
        <n v="4150"/>
        <n v="1220"/>
        <n v="39800"/>
        <n v="6500"/>
        <n v="310"/>
        <n v="1290"/>
        <n v="1460"/>
        <n v="5540"/>
        <n v="5010"/>
        <n v="40160"/>
        <n v="40980"/>
        <n v="7620"/>
        <n v="780"/>
        <n v="4850"/>
        <n v="900"/>
        <n v="38880"/>
        <n v="6860"/>
        <n v="41360"/>
        <n v="4040"/>
        <n v="5910"/>
        <n v="1660"/>
        <n v="180"/>
        <n v="6910"/>
        <n v="170"/>
        <n v="1560"/>
        <n v="1920"/>
        <n v="41750"/>
        <n v="34230"/>
        <n v="8170"/>
        <n v="1040"/>
        <n v="4460"/>
        <n v="38690"/>
        <n v="1120"/>
        <n v="290"/>
        <n v="930"/>
        <n v="1930"/>
        <n v="8980"/>
        <n v="33160"/>
        <n v="7470"/>
        <n v="3520"/>
        <n v="5850"/>
        <n v="35960"/>
        <n v="340"/>
        <n v="34210"/>
        <n v="7550"/>
        <n v="34110"/>
        <n v="30"/>
        <n v="2410"/>
        <n v="2390"/>
        <n v="940"/>
        <n v="2200"/>
        <n v="1030"/>
        <n v="2010"/>
        <n v="6030"/>
        <n v="1060"/>
        <n v="1620"/>
        <m/>
      </sharedItems>
    </cacheField>
    <cacheField name="Discount" numFmtId="0">
      <sharedItems containsString="0" containsBlank="1" containsNumber="1" minValue="0" maxValue="0.15" count="5">
        <n v="0.05"/>
        <n v="0.15"/>
        <n v="0"/>
        <n v="0.1"/>
        <m/>
      </sharedItems>
    </cacheField>
    <cacheField name="Sales_EGP" numFmtId="0">
      <sharedItems containsString="0" containsBlank="1" containsNumber="1" minValue="0" maxValue="167000" count="172">
        <n v="15466"/>
        <n v="5669.5"/>
        <n v="16400"/>
        <n v="7758"/>
        <n v="504"/>
        <n v="114598.5"/>
        <n v="378"/>
        <n v="16120"/>
        <n v="5480"/>
        <n v="1615"/>
        <n v="5785.5"/>
        <n v="4142"/>
        <n v="11900"/>
        <n v="35180"/>
        <n v="12330"/>
        <n v="8660"/>
        <n v="32360"/>
        <n v="11599.5"/>
        <n v="8255.5"/>
        <n v="1254"/>
        <n v="150"/>
        <n v="1596"/>
        <n v="29920"/>
        <n v="2040"/>
        <n v="5865"/>
        <n v="7488.5"/>
        <n v="36740"/>
        <n v="22290"/>
        <n v="3026"/>
        <n v="135"/>
        <n v="480"/>
        <n v="238"/>
        <n v="60"/>
        <n v="31240"/>
        <n v="51"/>
        <n v="2900"/>
        <n v="5000"/>
        <n v="260"/>
        <n v="3000"/>
        <n v="6408"/>
        <n v="6210"/>
        <n v="13591.5"/>
        <n v="5340"/>
        <n v="204"/>
        <n v="1309"/>
        <n v="40"/>
        <n v="13794"/>
        <n v="37940"/>
        <n v="1602"/>
        <n v="855"/>
        <n v="6764"/>
        <n v="5159.5"/>
        <n v="2110"/>
        <n v="4490"/>
        <n v="200"/>
        <n v="39805"/>
        <n v="5227.5"/>
        <n v="7454.5"/>
        <n v="85"/>
        <n v="1450"/>
        <n v="2080"/>
        <n v="1360"/>
        <n v="2540"/>
        <n v="22284"/>
        <n v="210"/>
        <n v="40610"/>
        <n v="108"/>
        <n v="35980"/>
        <n v="5814"/>
        <n v="3150"/>
        <n v="130"/>
        <n v="76"/>
        <n v="2400"/>
        <n v="1320"/>
        <n v="136"/>
        <n v="1233"/>
        <n v="20490"/>
        <n v="7040"/>
        <n v="4410"/>
        <n v="27480"/>
        <n v="140"/>
        <n v="187"/>
        <n v="816"/>
        <n v="541.5"/>
        <n v="3774"/>
        <n v="1720"/>
        <n v="12100"/>
        <n v="120"/>
        <n v="8190"/>
        <n v="90"/>
        <n v="570"/>
        <n v="190"/>
        <n v="12740"/>
        <n v="7030"/>
        <n v="8300"/>
        <n v="1220"/>
        <n v="39800"/>
        <n v="1540"/>
        <n v="6175"/>
        <n v="263.5"/>
        <n v="400"/>
        <n v="2580"/>
        <n v="178.5"/>
        <n v="1387"/>
        <n v="5540"/>
        <n v="10020"/>
        <n v="34136"/>
        <n v="77862"/>
        <n v="7620"/>
        <n v="1560"/>
        <n v="72"/>
        <n v="4365"/>
        <n v="189"/>
        <n v="80"/>
        <n v="1800"/>
        <n v="160"/>
        <n v="77760"/>
        <n v="6860"/>
        <n v="165440"/>
        <n v="240"/>
        <n v="15352"/>
        <n v="11820"/>
        <n v="1411"/>
        <n v="540"/>
        <n v="1188"/>
        <n v="12438"/>
        <n v="252"/>
        <n v="340"/>
        <n v="1326"/>
        <n v="110"/>
        <n v="1920"/>
        <n v="167000"/>
        <n v="310"/>
        <n v="29095.5"/>
        <n v="32680"/>
        <n v="884"/>
        <n v="4460"/>
        <n v="4360"/>
        <n v="77380"/>
        <n v="2240"/>
        <n v="246.5"/>
        <n v="114"/>
        <n v="930"/>
        <n v="3860"/>
        <n v="35920"/>
        <n v="28186"/>
        <n v="13446"/>
        <n v="2992"/>
        <n v="5265"/>
        <n v="630"/>
        <n v="143840"/>
        <n v="289"/>
        <n v="117"/>
        <n v="34210"/>
        <n v="357"/>
        <n v="1164.5"/>
        <n v="7550"/>
        <n v="34110"/>
        <n v="2410"/>
        <n v="2390"/>
        <n v="893"/>
        <n v="2090"/>
        <n v="68"/>
        <n v="3708"/>
        <n v="2010"/>
        <n v="5125.5"/>
        <n v="1007"/>
        <n v="3078"/>
        <n v="320"/>
        <n v="840"/>
        <n v="56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1">
  <r>
    <x v="0"/>
    <x v="0"/>
    <x v="0"/>
  </r>
  <r>
    <x v="1"/>
    <x v="1"/>
    <x v="1"/>
  </r>
  <r>
    <x v="2"/>
    <x v="1"/>
    <x v="2"/>
  </r>
  <r>
    <x v="3"/>
    <x v="2"/>
    <x v="1"/>
  </r>
  <r>
    <x v="4"/>
    <x v="3"/>
    <x v="2"/>
  </r>
  <r>
    <x v="5"/>
    <x v="4"/>
    <x v="3"/>
  </r>
  <r>
    <x v="6"/>
    <x v="4"/>
    <x v="3"/>
  </r>
  <r>
    <x v="7"/>
    <x v="5"/>
    <x v="3"/>
  </r>
  <r>
    <x v="8"/>
    <x v="6"/>
    <x v="3"/>
  </r>
  <r>
    <x v="9"/>
    <x v="6"/>
    <x v="1"/>
  </r>
  <r>
    <x v="10"/>
    <x v="7"/>
    <x v="1"/>
  </r>
  <r>
    <x v="11"/>
    <x v="8"/>
    <x v="0"/>
  </r>
  <r>
    <x v="12"/>
    <x v="9"/>
    <x v="0"/>
  </r>
  <r>
    <x v="13"/>
    <x v="9"/>
    <x v="0"/>
  </r>
  <r>
    <x v="14"/>
    <x v="10"/>
    <x v="4"/>
  </r>
  <r>
    <x v="15"/>
    <x v="10"/>
    <x v="1"/>
  </r>
  <r>
    <x v="16"/>
    <x v="10"/>
    <x v="3"/>
  </r>
  <r>
    <x v="17"/>
    <x v="10"/>
    <x v="0"/>
  </r>
  <r>
    <x v="18"/>
    <x v="10"/>
    <x v="4"/>
  </r>
  <r>
    <x v="19"/>
    <x v="11"/>
    <x v="2"/>
  </r>
  <r>
    <x v="20"/>
    <x v="12"/>
    <x v="0"/>
  </r>
  <r>
    <x v="21"/>
    <x v="12"/>
    <x v="1"/>
  </r>
  <r>
    <x v="22"/>
    <x v="12"/>
    <x v="3"/>
  </r>
  <r>
    <x v="23"/>
    <x v="13"/>
    <x v="2"/>
  </r>
  <r>
    <x v="24"/>
    <x v="14"/>
    <x v="4"/>
  </r>
  <r>
    <x v="25"/>
    <x v="15"/>
    <x v="0"/>
  </r>
  <r>
    <x v="26"/>
    <x v="15"/>
    <x v="1"/>
  </r>
  <r>
    <x v="27"/>
    <x v="16"/>
    <x v="3"/>
  </r>
  <r>
    <x v="28"/>
    <x v="16"/>
    <x v="0"/>
  </r>
  <r>
    <x v="29"/>
    <x v="16"/>
    <x v="1"/>
  </r>
  <r>
    <x v="30"/>
    <x v="16"/>
    <x v="0"/>
  </r>
  <r>
    <x v="31"/>
    <x v="17"/>
    <x v="2"/>
  </r>
  <r>
    <x v="32"/>
    <x v="18"/>
    <x v="3"/>
  </r>
  <r>
    <x v="33"/>
    <x v="19"/>
    <x v="4"/>
  </r>
  <r>
    <x v="34"/>
    <x v="19"/>
    <x v="0"/>
  </r>
  <r>
    <x v="35"/>
    <x v="20"/>
    <x v="4"/>
  </r>
  <r>
    <x v="36"/>
    <x v="20"/>
    <x v="1"/>
  </r>
  <r>
    <x v="37"/>
    <x v="21"/>
    <x v="0"/>
  </r>
  <r>
    <x v="38"/>
    <x v="22"/>
    <x v="4"/>
  </r>
  <r>
    <x v="39"/>
    <x v="23"/>
    <x v="1"/>
  </r>
  <r>
    <x v="40"/>
    <x v="24"/>
    <x v="2"/>
  </r>
  <r>
    <x v="41"/>
    <x v="25"/>
    <x v="1"/>
  </r>
  <r>
    <x v="42"/>
    <x v="25"/>
    <x v="0"/>
  </r>
  <r>
    <x v="43"/>
    <x v="26"/>
    <x v="2"/>
  </r>
  <r>
    <x v="44"/>
    <x v="27"/>
    <x v="0"/>
  </r>
  <r>
    <x v="45"/>
    <x v="27"/>
    <x v="1"/>
  </r>
  <r>
    <x v="46"/>
    <x v="28"/>
    <x v="3"/>
  </r>
  <r>
    <x v="47"/>
    <x v="28"/>
    <x v="3"/>
  </r>
  <r>
    <x v="48"/>
    <x v="29"/>
    <x v="2"/>
  </r>
  <r>
    <x v="49"/>
    <x v="29"/>
    <x v="0"/>
  </r>
  <r>
    <x v="50"/>
    <x v="30"/>
    <x v="2"/>
  </r>
  <r>
    <x v="51"/>
    <x v="31"/>
    <x v="4"/>
  </r>
  <r>
    <x v="52"/>
    <x v="32"/>
    <x v="2"/>
  </r>
  <r>
    <x v="53"/>
    <x v="32"/>
    <x v="2"/>
  </r>
  <r>
    <x v="54"/>
    <x v="32"/>
    <x v="3"/>
  </r>
  <r>
    <x v="55"/>
    <x v="33"/>
    <x v="4"/>
  </r>
  <r>
    <x v="56"/>
    <x v="34"/>
    <x v="0"/>
  </r>
  <r>
    <x v="57"/>
    <x v="34"/>
    <x v="0"/>
  </r>
  <r>
    <x v="58"/>
    <x v="34"/>
    <x v="3"/>
  </r>
  <r>
    <x v="59"/>
    <x v="35"/>
    <x v="4"/>
  </r>
  <r>
    <x v="60"/>
    <x v="35"/>
    <x v="3"/>
  </r>
  <r>
    <x v="61"/>
    <x v="36"/>
    <x v="0"/>
  </r>
  <r>
    <x v="62"/>
    <x v="37"/>
    <x v="1"/>
  </r>
  <r>
    <x v="63"/>
    <x v="38"/>
    <x v="2"/>
  </r>
  <r>
    <x v="64"/>
    <x v="38"/>
    <x v="0"/>
  </r>
  <r>
    <x v="65"/>
    <x v="39"/>
    <x v="2"/>
  </r>
  <r>
    <x v="66"/>
    <x v="40"/>
    <x v="3"/>
  </r>
  <r>
    <x v="67"/>
    <x v="40"/>
    <x v="4"/>
  </r>
  <r>
    <x v="68"/>
    <x v="40"/>
    <x v="1"/>
  </r>
  <r>
    <x v="69"/>
    <x v="41"/>
    <x v="0"/>
  </r>
  <r>
    <x v="70"/>
    <x v="41"/>
    <x v="0"/>
  </r>
  <r>
    <x v="71"/>
    <x v="42"/>
    <x v="3"/>
  </r>
  <r>
    <x v="72"/>
    <x v="43"/>
    <x v="2"/>
  </r>
  <r>
    <x v="73"/>
    <x v="44"/>
    <x v="4"/>
  </r>
  <r>
    <x v="74"/>
    <x v="45"/>
    <x v="0"/>
  </r>
  <r>
    <x v="75"/>
    <x v="45"/>
    <x v="3"/>
  </r>
  <r>
    <x v="76"/>
    <x v="46"/>
    <x v="3"/>
  </r>
  <r>
    <x v="77"/>
    <x v="46"/>
    <x v="2"/>
  </r>
  <r>
    <x v="78"/>
    <x v="47"/>
    <x v="4"/>
  </r>
  <r>
    <x v="79"/>
    <x v="48"/>
    <x v="4"/>
  </r>
  <r>
    <x v="80"/>
    <x v="48"/>
    <x v="2"/>
  </r>
  <r>
    <x v="81"/>
    <x v="49"/>
    <x v="1"/>
  </r>
  <r>
    <x v="82"/>
    <x v="49"/>
    <x v="4"/>
  </r>
  <r>
    <x v="83"/>
    <x v="50"/>
    <x v="1"/>
  </r>
  <r>
    <x v="84"/>
    <x v="51"/>
    <x v="2"/>
  </r>
  <r>
    <x v="85"/>
    <x v="51"/>
    <x v="1"/>
  </r>
  <r>
    <x v="86"/>
    <x v="52"/>
    <x v="4"/>
  </r>
  <r>
    <x v="87"/>
    <x v="53"/>
    <x v="4"/>
  </r>
  <r>
    <x v="88"/>
    <x v="53"/>
    <x v="0"/>
  </r>
  <r>
    <x v="89"/>
    <x v="53"/>
    <x v="0"/>
  </r>
  <r>
    <x v="90"/>
    <x v="54"/>
    <x v="2"/>
  </r>
  <r>
    <x v="91"/>
    <x v="54"/>
    <x v="4"/>
  </r>
  <r>
    <x v="92"/>
    <x v="54"/>
    <x v="2"/>
  </r>
  <r>
    <x v="93"/>
    <x v="55"/>
    <x v="1"/>
  </r>
  <r>
    <x v="94"/>
    <x v="55"/>
    <x v="0"/>
  </r>
  <r>
    <x v="95"/>
    <x v="56"/>
    <x v="2"/>
  </r>
  <r>
    <x v="96"/>
    <x v="56"/>
    <x v="0"/>
  </r>
  <r>
    <x v="97"/>
    <x v="57"/>
    <x v="3"/>
  </r>
  <r>
    <x v="98"/>
    <x v="58"/>
    <x v="1"/>
  </r>
  <r>
    <x v="99"/>
    <x v="59"/>
    <x v="1"/>
  </r>
  <r>
    <x v="100"/>
    <x v="59"/>
    <x v="0"/>
  </r>
  <r>
    <x v="101"/>
    <x v="59"/>
    <x v="4"/>
  </r>
  <r>
    <x v="102"/>
    <x v="60"/>
    <x v="2"/>
  </r>
  <r>
    <x v="103"/>
    <x v="61"/>
    <x v="1"/>
  </r>
  <r>
    <x v="104"/>
    <x v="62"/>
    <x v="2"/>
  </r>
  <r>
    <x v="105"/>
    <x v="63"/>
    <x v="3"/>
  </r>
  <r>
    <x v="106"/>
    <x v="63"/>
    <x v="1"/>
  </r>
  <r>
    <x v="107"/>
    <x v="63"/>
    <x v="0"/>
  </r>
  <r>
    <x v="108"/>
    <x v="63"/>
    <x v="4"/>
  </r>
  <r>
    <x v="109"/>
    <x v="64"/>
    <x v="0"/>
  </r>
  <r>
    <x v="110"/>
    <x v="64"/>
    <x v="2"/>
  </r>
  <r>
    <x v="111"/>
    <x v="64"/>
    <x v="2"/>
  </r>
  <r>
    <x v="112"/>
    <x v="65"/>
    <x v="0"/>
  </r>
  <r>
    <x v="113"/>
    <x v="66"/>
    <x v="1"/>
  </r>
  <r>
    <x v="114"/>
    <x v="67"/>
    <x v="0"/>
  </r>
  <r>
    <x v="115"/>
    <x v="67"/>
    <x v="0"/>
  </r>
  <r>
    <x v="116"/>
    <x v="68"/>
    <x v="4"/>
  </r>
  <r>
    <x v="117"/>
    <x v="68"/>
    <x v="4"/>
  </r>
  <r>
    <x v="118"/>
    <x v="69"/>
    <x v="0"/>
  </r>
  <r>
    <x v="119"/>
    <x v="70"/>
    <x v="1"/>
  </r>
  <r>
    <x v="120"/>
    <x v="71"/>
    <x v="2"/>
  </r>
  <r>
    <x v="121"/>
    <x v="72"/>
    <x v="1"/>
  </r>
  <r>
    <x v="122"/>
    <x v="72"/>
    <x v="2"/>
  </r>
  <r>
    <x v="123"/>
    <x v="73"/>
    <x v="2"/>
  </r>
  <r>
    <x v="124"/>
    <x v="74"/>
    <x v="2"/>
  </r>
  <r>
    <x v="125"/>
    <x v="75"/>
    <x v="0"/>
  </r>
  <r>
    <x v="126"/>
    <x v="75"/>
    <x v="1"/>
  </r>
  <r>
    <x v="127"/>
    <x v="76"/>
    <x v="3"/>
  </r>
  <r>
    <x v="128"/>
    <x v="77"/>
    <x v="2"/>
  </r>
  <r>
    <x v="129"/>
    <x v="77"/>
    <x v="0"/>
  </r>
  <r>
    <x v="130"/>
    <x v="78"/>
    <x v="4"/>
  </r>
  <r>
    <x v="131"/>
    <x v="78"/>
    <x v="3"/>
  </r>
  <r>
    <x v="132"/>
    <x v="79"/>
    <x v="3"/>
  </r>
  <r>
    <x v="133"/>
    <x v="79"/>
    <x v="4"/>
  </r>
  <r>
    <x v="134"/>
    <x v="79"/>
    <x v="1"/>
  </r>
  <r>
    <x v="135"/>
    <x v="80"/>
    <x v="4"/>
  </r>
  <r>
    <x v="136"/>
    <x v="80"/>
    <x v="3"/>
  </r>
  <r>
    <x v="137"/>
    <x v="80"/>
    <x v="1"/>
  </r>
  <r>
    <x v="138"/>
    <x v="81"/>
    <x v="1"/>
  </r>
  <r>
    <x v="139"/>
    <x v="81"/>
    <x v="0"/>
  </r>
  <r>
    <x v="140"/>
    <x v="82"/>
    <x v="2"/>
  </r>
  <r>
    <x v="141"/>
    <x v="82"/>
    <x v="4"/>
  </r>
  <r>
    <x v="142"/>
    <x v="83"/>
    <x v="3"/>
  </r>
  <r>
    <x v="143"/>
    <x v="83"/>
    <x v="2"/>
  </r>
  <r>
    <x v="144"/>
    <x v="84"/>
    <x v="1"/>
  </r>
  <r>
    <x v="145"/>
    <x v="84"/>
    <x v="1"/>
  </r>
  <r>
    <x v="146"/>
    <x v="85"/>
    <x v="2"/>
  </r>
  <r>
    <x v="147"/>
    <x v="86"/>
    <x v="4"/>
  </r>
  <r>
    <x v="148"/>
    <x v="87"/>
    <x v="3"/>
  </r>
  <r>
    <x v="149"/>
    <x v="88"/>
    <x v="4"/>
  </r>
  <r>
    <x v="150"/>
    <x v="89"/>
    <x v="1"/>
  </r>
  <r>
    <x v="151"/>
    <x v="90"/>
    <x v="1"/>
  </r>
  <r>
    <x v="152"/>
    <x v="90"/>
    <x v="2"/>
  </r>
  <r>
    <x v="153"/>
    <x v="91"/>
    <x v="0"/>
  </r>
  <r>
    <x v="154"/>
    <x v="91"/>
    <x v="0"/>
  </r>
  <r>
    <x v="155"/>
    <x v="92"/>
    <x v="3"/>
  </r>
  <r>
    <x v="156"/>
    <x v="93"/>
    <x v="1"/>
  </r>
  <r>
    <x v="157"/>
    <x v="94"/>
    <x v="2"/>
  </r>
  <r>
    <x v="158"/>
    <x v="95"/>
    <x v="3"/>
  </r>
  <r>
    <x v="159"/>
    <x v="96"/>
    <x v="4"/>
  </r>
  <r>
    <x v="160"/>
    <x v="96"/>
    <x v="3"/>
  </r>
  <r>
    <x v="161"/>
    <x v="97"/>
    <x v="0"/>
  </r>
  <r>
    <x v="162"/>
    <x v="98"/>
    <x v="2"/>
  </r>
  <r>
    <x v="163"/>
    <x v="98"/>
    <x v="3"/>
  </r>
  <r>
    <x v="164"/>
    <x v="99"/>
    <x v="1"/>
  </r>
  <r>
    <x v="165"/>
    <x v="99"/>
    <x v="4"/>
  </r>
  <r>
    <x v="166"/>
    <x v="100"/>
    <x v="3"/>
  </r>
  <r>
    <x v="167"/>
    <x v="101"/>
    <x v="4"/>
  </r>
  <r>
    <x v="168"/>
    <x v="102"/>
    <x v="3"/>
  </r>
  <r>
    <x v="169"/>
    <x v="103"/>
    <x v="0"/>
  </r>
  <r>
    <x v="170"/>
    <x v="103"/>
    <x v="2"/>
  </r>
  <r>
    <x v="171"/>
    <x v="104"/>
    <x v="2"/>
  </r>
  <r>
    <x v="172"/>
    <x v="105"/>
    <x v="2"/>
  </r>
  <r>
    <x v="173"/>
    <x v="105"/>
    <x v="4"/>
  </r>
  <r>
    <x v="174"/>
    <x v="105"/>
    <x v="4"/>
  </r>
  <r>
    <x v="175"/>
    <x v="106"/>
    <x v="3"/>
  </r>
  <r>
    <x v="176"/>
    <x v="106"/>
    <x v="2"/>
  </r>
  <r>
    <x v="177"/>
    <x v="106"/>
    <x v="3"/>
  </r>
  <r>
    <x v="178"/>
    <x v="107"/>
    <x v="3"/>
  </r>
  <r>
    <x v="179"/>
    <x v="108"/>
    <x v="3"/>
  </r>
  <r>
    <x v="180"/>
    <x v="109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81">
  <r>
    <x v="0"/>
    <x v="0"/>
    <x v="0"/>
  </r>
  <r>
    <x v="1"/>
    <x v="1"/>
    <x v="0"/>
  </r>
  <r>
    <x v="2"/>
    <x v="2"/>
    <x v="0"/>
  </r>
  <r>
    <x v="3"/>
    <x v="2"/>
    <x v="0"/>
  </r>
  <r>
    <x v="4"/>
    <x v="3"/>
    <x v="0"/>
  </r>
  <r>
    <x v="5"/>
    <x v="4"/>
    <x v="0"/>
  </r>
  <r>
    <x v="6"/>
    <x v="5"/>
    <x v="0"/>
  </r>
  <r>
    <x v="7"/>
    <x v="6"/>
    <x v="0"/>
  </r>
  <r>
    <x v="8"/>
    <x v="3"/>
    <x v="0"/>
  </r>
  <r>
    <x v="9"/>
    <x v="7"/>
    <x v="0"/>
  </r>
  <r>
    <x v="10"/>
    <x v="7"/>
    <x v="0"/>
  </r>
  <r>
    <x v="11"/>
    <x v="8"/>
    <x v="0"/>
  </r>
  <r>
    <x v="12"/>
    <x v="9"/>
    <x v="0"/>
  </r>
  <r>
    <x v="13"/>
    <x v="10"/>
    <x v="0"/>
  </r>
  <r>
    <x v="14"/>
    <x v="11"/>
    <x v="0"/>
  </r>
  <r>
    <x v="15"/>
    <x v="12"/>
    <x v="0"/>
  </r>
  <r>
    <x v="16"/>
    <x v="13"/>
    <x v="0"/>
  </r>
  <r>
    <x v="17"/>
    <x v="14"/>
    <x v="0"/>
  </r>
  <r>
    <x v="18"/>
    <x v="15"/>
    <x v="0"/>
  </r>
  <r>
    <x v="19"/>
    <x v="7"/>
    <x v="0"/>
  </r>
  <r>
    <x v="20"/>
    <x v="16"/>
    <x v="0"/>
  </r>
  <r>
    <x v="21"/>
    <x v="15"/>
    <x v="0"/>
  </r>
  <r>
    <x v="22"/>
    <x v="17"/>
    <x v="0"/>
  </r>
  <r>
    <x v="23"/>
    <x v="12"/>
    <x v="0"/>
  </r>
  <r>
    <x v="24"/>
    <x v="18"/>
    <x v="0"/>
  </r>
  <r>
    <x v="25"/>
    <x v="7"/>
    <x v="0"/>
  </r>
  <r>
    <x v="26"/>
    <x v="19"/>
    <x v="0"/>
  </r>
  <r>
    <x v="27"/>
    <x v="20"/>
    <x v="0"/>
  </r>
  <r>
    <x v="28"/>
    <x v="3"/>
    <x v="0"/>
  </r>
  <r>
    <x v="29"/>
    <x v="21"/>
    <x v="0"/>
  </r>
  <r>
    <x v="30"/>
    <x v="20"/>
    <x v="0"/>
  </r>
  <r>
    <x v="31"/>
    <x v="19"/>
    <x v="0"/>
  </r>
  <r>
    <x v="32"/>
    <x v="22"/>
    <x v="0"/>
  </r>
  <r>
    <x v="33"/>
    <x v="23"/>
    <x v="1"/>
  </r>
  <r>
    <x v="34"/>
    <x v="11"/>
    <x v="1"/>
  </r>
  <r>
    <x v="35"/>
    <x v="24"/>
    <x v="1"/>
  </r>
  <r>
    <x v="36"/>
    <x v="25"/>
    <x v="1"/>
  </r>
  <r>
    <x v="37"/>
    <x v="26"/>
    <x v="1"/>
  </r>
  <r>
    <x v="38"/>
    <x v="8"/>
    <x v="1"/>
  </r>
  <r>
    <x v="39"/>
    <x v="27"/>
    <x v="1"/>
  </r>
  <r>
    <x v="40"/>
    <x v="15"/>
    <x v="1"/>
  </r>
  <r>
    <x v="41"/>
    <x v="28"/>
    <x v="1"/>
  </r>
  <r>
    <x v="42"/>
    <x v="24"/>
    <x v="1"/>
  </r>
  <r>
    <x v="43"/>
    <x v="26"/>
    <x v="1"/>
  </r>
  <r>
    <x v="44"/>
    <x v="29"/>
    <x v="1"/>
  </r>
  <r>
    <x v="45"/>
    <x v="30"/>
    <x v="1"/>
  </r>
  <r>
    <x v="46"/>
    <x v="18"/>
    <x v="1"/>
  </r>
  <r>
    <x v="32"/>
    <x v="31"/>
    <x v="1"/>
  </r>
  <r>
    <x v="47"/>
    <x v="32"/>
    <x v="1"/>
  </r>
  <r>
    <x v="48"/>
    <x v="15"/>
    <x v="1"/>
  </r>
  <r>
    <x v="49"/>
    <x v="33"/>
    <x v="1"/>
  </r>
  <r>
    <x v="50"/>
    <x v="27"/>
    <x v="1"/>
  </r>
  <r>
    <x v="34"/>
    <x v="34"/>
    <x v="1"/>
  </r>
  <r>
    <x v="51"/>
    <x v="35"/>
    <x v="1"/>
  </r>
  <r>
    <x v="52"/>
    <x v="11"/>
    <x v="1"/>
  </r>
  <r>
    <x v="53"/>
    <x v="12"/>
    <x v="1"/>
  </r>
  <r>
    <x v="54"/>
    <x v="16"/>
    <x v="1"/>
  </r>
  <r>
    <x v="55"/>
    <x v="14"/>
    <x v="1"/>
  </r>
  <r>
    <x v="56"/>
    <x v="8"/>
    <x v="1"/>
  </r>
  <r>
    <x v="57"/>
    <x v="8"/>
    <x v="1"/>
  </r>
  <r>
    <x v="58"/>
    <x v="15"/>
    <x v="1"/>
  </r>
  <r>
    <x v="59"/>
    <x v="36"/>
    <x v="1"/>
  </r>
  <r>
    <x v="60"/>
    <x v="5"/>
    <x v="1"/>
  </r>
  <r>
    <x v="61"/>
    <x v="21"/>
    <x v="1"/>
  </r>
  <r>
    <x v="62"/>
    <x v="32"/>
    <x v="1"/>
  </r>
  <r>
    <x v="63"/>
    <x v="20"/>
    <x v="2"/>
  </r>
  <r>
    <x v="64"/>
    <x v="37"/>
    <x v="2"/>
  </r>
  <r>
    <x v="65"/>
    <x v="38"/>
    <x v="2"/>
  </r>
  <r>
    <x v="66"/>
    <x v="8"/>
    <x v="2"/>
  </r>
  <r>
    <x v="67"/>
    <x v="25"/>
    <x v="2"/>
  </r>
  <r>
    <x v="68"/>
    <x v="39"/>
    <x v="2"/>
  </r>
  <r>
    <x v="69"/>
    <x v="40"/>
    <x v="2"/>
  </r>
  <r>
    <x v="70"/>
    <x v="8"/>
    <x v="2"/>
  </r>
  <r>
    <x v="45"/>
    <x v="41"/>
    <x v="2"/>
  </r>
  <r>
    <x v="71"/>
    <x v="12"/>
    <x v="2"/>
  </r>
  <r>
    <x v="72"/>
    <x v="33"/>
    <x v="2"/>
  </r>
  <r>
    <x v="73"/>
    <x v="13"/>
    <x v="2"/>
  </r>
  <r>
    <x v="74"/>
    <x v="40"/>
    <x v="2"/>
  </r>
  <r>
    <x v="75"/>
    <x v="27"/>
    <x v="2"/>
  </r>
  <r>
    <x v="76"/>
    <x v="19"/>
    <x v="2"/>
  </r>
  <r>
    <x v="77"/>
    <x v="40"/>
    <x v="2"/>
  </r>
  <r>
    <x v="78"/>
    <x v="25"/>
    <x v="2"/>
  </r>
  <r>
    <x v="79"/>
    <x v="24"/>
    <x v="2"/>
  </r>
  <r>
    <x v="80"/>
    <x v="37"/>
    <x v="2"/>
  </r>
  <r>
    <x v="81"/>
    <x v="7"/>
    <x v="2"/>
  </r>
  <r>
    <x v="82"/>
    <x v="30"/>
    <x v="2"/>
  </r>
  <r>
    <x v="83"/>
    <x v="22"/>
    <x v="2"/>
  </r>
  <r>
    <x v="80"/>
    <x v="2"/>
    <x v="2"/>
  </r>
  <r>
    <x v="84"/>
    <x v="37"/>
    <x v="2"/>
  </r>
  <r>
    <x v="85"/>
    <x v="7"/>
    <x v="2"/>
  </r>
  <r>
    <x v="86"/>
    <x v="14"/>
    <x v="2"/>
  </r>
  <r>
    <x v="87"/>
    <x v="19"/>
    <x v="2"/>
  </r>
  <r>
    <x v="88"/>
    <x v="32"/>
    <x v="2"/>
  </r>
  <r>
    <x v="89"/>
    <x v="15"/>
    <x v="2"/>
  </r>
  <r>
    <x v="90"/>
    <x v="28"/>
    <x v="2"/>
  </r>
  <r>
    <x v="91"/>
    <x v="7"/>
    <x v="3"/>
  </r>
  <r>
    <x v="92"/>
    <x v="12"/>
    <x v="3"/>
  </r>
  <r>
    <x v="93"/>
    <x v="19"/>
    <x v="3"/>
  </r>
  <r>
    <x v="94"/>
    <x v="36"/>
    <x v="3"/>
  </r>
  <r>
    <x v="95"/>
    <x v="38"/>
    <x v="3"/>
  </r>
  <r>
    <x v="96"/>
    <x v="22"/>
    <x v="3"/>
  </r>
  <r>
    <x v="97"/>
    <x v="18"/>
    <x v="3"/>
  </r>
  <r>
    <x v="98"/>
    <x v="11"/>
    <x v="3"/>
  </r>
  <r>
    <x v="99"/>
    <x v="3"/>
    <x v="3"/>
  </r>
  <r>
    <x v="100"/>
    <x v="16"/>
    <x v="3"/>
  </r>
  <r>
    <x v="101"/>
    <x v="15"/>
    <x v="3"/>
  </r>
  <r>
    <x v="102"/>
    <x v="7"/>
    <x v="3"/>
  </r>
  <r>
    <x v="103"/>
    <x v="11"/>
    <x v="3"/>
  </r>
  <r>
    <x v="104"/>
    <x v="23"/>
    <x v="3"/>
  </r>
  <r>
    <x v="105"/>
    <x v="6"/>
    <x v="3"/>
  </r>
  <r>
    <x v="106"/>
    <x v="1"/>
    <x v="3"/>
  </r>
  <r>
    <x v="107"/>
    <x v="42"/>
    <x v="3"/>
  </r>
  <r>
    <x v="108"/>
    <x v="2"/>
    <x v="3"/>
  </r>
  <r>
    <x v="109"/>
    <x v="12"/>
    <x v="3"/>
  </r>
  <r>
    <x v="110"/>
    <x v="24"/>
    <x v="3"/>
  </r>
  <r>
    <x v="111"/>
    <x v="20"/>
    <x v="3"/>
  </r>
  <r>
    <x v="112"/>
    <x v="2"/>
    <x v="3"/>
  </r>
  <r>
    <x v="113"/>
    <x v="34"/>
    <x v="3"/>
  </r>
  <r>
    <x v="114"/>
    <x v="15"/>
    <x v="3"/>
  </r>
  <r>
    <x v="115"/>
    <x v="5"/>
    <x v="3"/>
  </r>
  <r>
    <x v="113"/>
    <x v="43"/>
    <x v="3"/>
  </r>
  <r>
    <x v="116"/>
    <x v="16"/>
    <x v="4"/>
  </r>
  <r>
    <x v="117"/>
    <x v="10"/>
    <x v="4"/>
  </r>
  <r>
    <x v="118"/>
    <x v="42"/>
    <x v="4"/>
  </r>
  <r>
    <x v="119"/>
    <x v="35"/>
    <x v="4"/>
  </r>
  <r>
    <x v="120"/>
    <x v="10"/>
    <x v="4"/>
  </r>
  <r>
    <x v="71"/>
    <x v="28"/>
    <x v="4"/>
  </r>
  <r>
    <x v="121"/>
    <x v="44"/>
    <x v="4"/>
  </r>
  <r>
    <x v="122"/>
    <x v="45"/>
    <x v="4"/>
  </r>
  <r>
    <x v="123"/>
    <x v="30"/>
    <x v="4"/>
  </r>
  <r>
    <x v="124"/>
    <x v="32"/>
    <x v="4"/>
  </r>
  <r>
    <x v="125"/>
    <x v="1"/>
    <x v="4"/>
  </r>
  <r>
    <x v="126"/>
    <x v="7"/>
    <x v="4"/>
  </r>
  <r>
    <x v="127"/>
    <x v="22"/>
    <x v="4"/>
  </r>
  <r>
    <x v="128"/>
    <x v="15"/>
    <x v="4"/>
  </r>
  <r>
    <x v="129"/>
    <x v="30"/>
    <x v="4"/>
  </r>
  <r>
    <x v="130"/>
    <x v="15"/>
    <x v="4"/>
  </r>
  <r>
    <x v="131"/>
    <x v="21"/>
    <x v="4"/>
  </r>
  <r>
    <x v="132"/>
    <x v="45"/>
    <x v="4"/>
  </r>
  <r>
    <x v="133"/>
    <x v="14"/>
    <x v="4"/>
  </r>
  <r>
    <x v="134"/>
    <x v="25"/>
    <x v="4"/>
  </r>
  <r>
    <x v="135"/>
    <x v="40"/>
    <x v="4"/>
  </r>
  <r>
    <x v="136"/>
    <x v="6"/>
    <x v="4"/>
  </r>
  <r>
    <x v="137"/>
    <x v="4"/>
    <x v="4"/>
  </r>
  <r>
    <x v="138"/>
    <x v="22"/>
    <x v="4"/>
  </r>
  <r>
    <x v="139"/>
    <x v="44"/>
    <x v="4"/>
  </r>
  <r>
    <x v="140"/>
    <x v="46"/>
    <x v="4"/>
  </r>
  <r>
    <x v="141"/>
    <x v="47"/>
    <x v="4"/>
  </r>
  <r>
    <x v="142"/>
    <x v="43"/>
    <x v="4"/>
  </r>
  <r>
    <x v="143"/>
    <x v="33"/>
    <x v="4"/>
  </r>
  <r>
    <x v="100"/>
    <x v="5"/>
    <x v="4"/>
  </r>
  <r>
    <x v="144"/>
    <x v="18"/>
    <x v="4"/>
  </r>
  <r>
    <x v="145"/>
    <x v="2"/>
    <x v="4"/>
  </r>
  <r>
    <x v="146"/>
    <x v="35"/>
    <x v="5"/>
  </r>
  <r>
    <x v="147"/>
    <x v="48"/>
    <x v="5"/>
  </r>
  <r>
    <x v="148"/>
    <x v="3"/>
    <x v="5"/>
  </r>
  <r>
    <x v="149"/>
    <x v="49"/>
    <x v="5"/>
  </r>
  <r>
    <x v="150"/>
    <x v="43"/>
    <x v="5"/>
  </r>
  <r>
    <x v="151"/>
    <x v="13"/>
    <x v="5"/>
  </r>
  <r>
    <x v="152"/>
    <x v="38"/>
    <x v="5"/>
  </r>
  <r>
    <x v="153"/>
    <x v="36"/>
    <x v="5"/>
  </r>
  <r>
    <x v="154"/>
    <x v="29"/>
    <x v="5"/>
  </r>
  <r>
    <x v="110"/>
    <x v="41"/>
    <x v="5"/>
  </r>
  <r>
    <x v="155"/>
    <x v="17"/>
    <x v="5"/>
  </r>
  <r>
    <x v="156"/>
    <x v="36"/>
    <x v="5"/>
  </r>
  <r>
    <x v="157"/>
    <x v="32"/>
    <x v="5"/>
  </r>
  <r>
    <x v="32"/>
    <x v="45"/>
    <x v="5"/>
  </r>
  <r>
    <x v="158"/>
    <x v="41"/>
    <x v="5"/>
  </r>
  <r>
    <x v="159"/>
    <x v="40"/>
    <x v="5"/>
  </r>
  <r>
    <x v="160"/>
    <x v="31"/>
    <x v="5"/>
  </r>
  <r>
    <x v="161"/>
    <x v="25"/>
    <x v="5"/>
  </r>
  <r>
    <x v="162"/>
    <x v="25"/>
    <x v="5"/>
  </r>
  <r>
    <x v="163"/>
    <x v="22"/>
    <x v="5"/>
  </r>
  <r>
    <x v="164"/>
    <x v="2"/>
    <x v="5"/>
  </r>
  <r>
    <x v="165"/>
    <x v="29"/>
    <x v="5"/>
  </r>
  <r>
    <x v="166"/>
    <x v="18"/>
    <x v="5"/>
  </r>
  <r>
    <x v="167"/>
    <x v="40"/>
    <x v="5"/>
  </r>
  <r>
    <x v="168"/>
    <x v="41"/>
    <x v="5"/>
  </r>
  <r>
    <x v="169"/>
    <x v="49"/>
    <x v="5"/>
  </r>
  <r>
    <x v="170"/>
    <x v="45"/>
    <x v="5"/>
  </r>
  <r>
    <x v="171"/>
    <x v="50"/>
    <x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81">
  <r>
    <x v="0"/>
    <x v="0"/>
    <x v="0"/>
    <x v="0"/>
    <x v="0"/>
    <x v="0"/>
    <x v="0"/>
    <x v="0"/>
  </r>
  <r>
    <x v="1"/>
    <x v="1"/>
    <x v="0"/>
    <x v="0"/>
    <x v="1"/>
    <x v="1"/>
    <x v="1"/>
    <x v="1"/>
  </r>
  <r>
    <x v="2"/>
    <x v="1"/>
    <x v="1"/>
    <x v="0"/>
    <x v="2"/>
    <x v="2"/>
    <x v="2"/>
    <x v="2"/>
  </r>
  <r>
    <x v="1"/>
    <x v="0"/>
    <x v="1"/>
    <x v="0"/>
    <x v="1"/>
    <x v="3"/>
    <x v="3"/>
    <x v="3"/>
  </r>
  <r>
    <x v="2"/>
    <x v="0"/>
    <x v="2"/>
    <x v="1"/>
    <x v="0"/>
    <x v="4"/>
    <x v="3"/>
    <x v="4"/>
  </r>
  <r>
    <x v="3"/>
    <x v="1"/>
    <x v="3"/>
    <x v="2"/>
    <x v="3"/>
    <x v="5"/>
    <x v="0"/>
    <x v="5"/>
  </r>
  <r>
    <x v="3"/>
    <x v="1"/>
    <x v="2"/>
    <x v="1"/>
    <x v="2"/>
    <x v="6"/>
    <x v="3"/>
    <x v="6"/>
  </r>
  <r>
    <x v="3"/>
    <x v="0"/>
    <x v="1"/>
    <x v="0"/>
    <x v="2"/>
    <x v="7"/>
    <x v="2"/>
    <x v="7"/>
  </r>
  <r>
    <x v="3"/>
    <x v="1"/>
    <x v="0"/>
    <x v="0"/>
    <x v="1"/>
    <x v="8"/>
    <x v="2"/>
    <x v="8"/>
  </r>
  <r>
    <x v="1"/>
    <x v="1"/>
    <x v="4"/>
    <x v="2"/>
    <x v="2"/>
    <x v="9"/>
    <x v="1"/>
    <x v="9"/>
  </r>
  <r>
    <x v="1"/>
    <x v="0"/>
    <x v="4"/>
    <x v="2"/>
    <x v="3"/>
    <x v="10"/>
    <x v="0"/>
    <x v="10"/>
  </r>
  <r>
    <x v="0"/>
    <x v="0"/>
    <x v="4"/>
    <x v="2"/>
    <x v="2"/>
    <x v="11"/>
    <x v="0"/>
    <x v="11"/>
  </r>
  <r>
    <x v="0"/>
    <x v="0"/>
    <x v="0"/>
    <x v="0"/>
    <x v="2"/>
    <x v="12"/>
    <x v="2"/>
    <x v="12"/>
  </r>
  <r>
    <x v="0"/>
    <x v="1"/>
    <x v="3"/>
    <x v="2"/>
    <x v="1"/>
    <x v="13"/>
    <x v="2"/>
    <x v="13"/>
  </r>
  <r>
    <x v="4"/>
    <x v="1"/>
    <x v="1"/>
    <x v="0"/>
    <x v="2"/>
    <x v="14"/>
    <x v="3"/>
    <x v="14"/>
  </r>
  <r>
    <x v="1"/>
    <x v="1"/>
    <x v="1"/>
    <x v="0"/>
    <x v="1"/>
    <x v="15"/>
    <x v="2"/>
    <x v="15"/>
  </r>
  <r>
    <x v="3"/>
    <x v="1"/>
    <x v="3"/>
    <x v="2"/>
    <x v="1"/>
    <x v="16"/>
    <x v="2"/>
    <x v="16"/>
  </r>
  <r>
    <x v="0"/>
    <x v="0"/>
    <x v="0"/>
    <x v="0"/>
    <x v="3"/>
    <x v="0"/>
    <x v="0"/>
    <x v="17"/>
  </r>
  <r>
    <x v="4"/>
    <x v="0"/>
    <x v="1"/>
    <x v="0"/>
    <x v="1"/>
    <x v="17"/>
    <x v="0"/>
    <x v="18"/>
  </r>
  <r>
    <x v="2"/>
    <x v="0"/>
    <x v="5"/>
    <x v="3"/>
    <x v="0"/>
    <x v="18"/>
    <x v="0"/>
    <x v="19"/>
  </r>
  <r>
    <x v="0"/>
    <x v="0"/>
    <x v="5"/>
    <x v="3"/>
    <x v="1"/>
    <x v="19"/>
    <x v="2"/>
    <x v="20"/>
  </r>
  <r>
    <x v="1"/>
    <x v="1"/>
    <x v="4"/>
    <x v="2"/>
    <x v="1"/>
    <x v="20"/>
    <x v="0"/>
    <x v="21"/>
  </r>
  <r>
    <x v="3"/>
    <x v="0"/>
    <x v="3"/>
    <x v="2"/>
    <x v="1"/>
    <x v="21"/>
    <x v="1"/>
    <x v="22"/>
  </r>
  <r>
    <x v="2"/>
    <x v="1"/>
    <x v="6"/>
    <x v="3"/>
    <x v="2"/>
    <x v="22"/>
    <x v="2"/>
    <x v="23"/>
  </r>
  <r>
    <x v="4"/>
    <x v="1"/>
    <x v="0"/>
    <x v="0"/>
    <x v="1"/>
    <x v="23"/>
    <x v="1"/>
    <x v="24"/>
  </r>
  <r>
    <x v="0"/>
    <x v="0"/>
    <x v="1"/>
    <x v="0"/>
    <x v="1"/>
    <x v="24"/>
    <x v="1"/>
    <x v="25"/>
  </r>
  <r>
    <x v="1"/>
    <x v="1"/>
    <x v="3"/>
    <x v="2"/>
    <x v="1"/>
    <x v="25"/>
    <x v="2"/>
    <x v="26"/>
  </r>
  <r>
    <x v="3"/>
    <x v="1"/>
    <x v="0"/>
    <x v="0"/>
    <x v="3"/>
    <x v="26"/>
    <x v="2"/>
    <x v="27"/>
  </r>
  <r>
    <x v="0"/>
    <x v="1"/>
    <x v="6"/>
    <x v="3"/>
    <x v="2"/>
    <x v="27"/>
    <x v="1"/>
    <x v="28"/>
  </r>
  <r>
    <x v="1"/>
    <x v="1"/>
    <x v="2"/>
    <x v="1"/>
    <x v="1"/>
    <x v="19"/>
    <x v="3"/>
    <x v="29"/>
  </r>
  <r>
    <x v="0"/>
    <x v="1"/>
    <x v="2"/>
    <x v="1"/>
    <x v="0"/>
    <x v="28"/>
    <x v="2"/>
    <x v="30"/>
  </r>
  <r>
    <x v="2"/>
    <x v="1"/>
    <x v="2"/>
    <x v="1"/>
    <x v="2"/>
    <x v="4"/>
    <x v="1"/>
    <x v="31"/>
  </r>
  <r>
    <x v="3"/>
    <x v="0"/>
    <x v="7"/>
    <x v="1"/>
    <x v="1"/>
    <x v="29"/>
    <x v="2"/>
    <x v="32"/>
  </r>
  <r>
    <x v="4"/>
    <x v="1"/>
    <x v="1"/>
    <x v="0"/>
    <x v="0"/>
    <x v="30"/>
    <x v="2"/>
    <x v="33"/>
  </r>
  <r>
    <x v="0"/>
    <x v="1"/>
    <x v="7"/>
    <x v="1"/>
    <x v="1"/>
    <x v="29"/>
    <x v="1"/>
    <x v="34"/>
  </r>
  <r>
    <x v="4"/>
    <x v="0"/>
    <x v="6"/>
    <x v="3"/>
    <x v="2"/>
    <x v="31"/>
    <x v="2"/>
    <x v="35"/>
  </r>
  <r>
    <x v="1"/>
    <x v="0"/>
    <x v="6"/>
    <x v="3"/>
    <x v="0"/>
    <x v="32"/>
    <x v="2"/>
    <x v="36"/>
  </r>
  <r>
    <x v="0"/>
    <x v="1"/>
    <x v="5"/>
    <x v="3"/>
    <x v="2"/>
    <x v="33"/>
    <x v="2"/>
    <x v="37"/>
  </r>
  <r>
    <x v="4"/>
    <x v="0"/>
    <x v="4"/>
    <x v="2"/>
    <x v="2"/>
    <x v="34"/>
    <x v="2"/>
    <x v="38"/>
  </r>
  <r>
    <x v="1"/>
    <x v="1"/>
    <x v="0"/>
    <x v="0"/>
    <x v="2"/>
    <x v="35"/>
    <x v="3"/>
    <x v="39"/>
  </r>
  <r>
    <x v="2"/>
    <x v="1"/>
    <x v="1"/>
    <x v="0"/>
    <x v="1"/>
    <x v="23"/>
    <x v="3"/>
    <x v="40"/>
  </r>
  <r>
    <x v="1"/>
    <x v="1"/>
    <x v="1"/>
    <x v="0"/>
    <x v="3"/>
    <x v="36"/>
    <x v="1"/>
    <x v="41"/>
  </r>
  <r>
    <x v="0"/>
    <x v="1"/>
    <x v="4"/>
    <x v="2"/>
    <x v="3"/>
    <x v="27"/>
    <x v="2"/>
    <x v="42"/>
  </r>
  <r>
    <x v="2"/>
    <x v="1"/>
    <x v="7"/>
    <x v="1"/>
    <x v="3"/>
    <x v="37"/>
    <x v="1"/>
    <x v="43"/>
  </r>
  <r>
    <x v="0"/>
    <x v="0"/>
    <x v="4"/>
    <x v="2"/>
    <x v="1"/>
    <x v="38"/>
    <x v="1"/>
    <x v="44"/>
  </r>
  <r>
    <x v="1"/>
    <x v="1"/>
    <x v="7"/>
    <x v="1"/>
    <x v="1"/>
    <x v="39"/>
    <x v="2"/>
    <x v="45"/>
  </r>
  <r>
    <x v="3"/>
    <x v="1"/>
    <x v="0"/>
    <x v="0"/>
    <x v="0"/>
    <x v="40"/>
    <x v="0"/>
    <x v="46"/>
  </r>
  <r>
    <x v="3"/>
    <x v="1"/>
    <x v="7"/>
    <x v="1"/>
    <x v="1"/>
    <x v="29"/>
    <x v="2"/>
    <x v="32"/>
  </r>
  <r>
    <x v="2"/>
    <x v="0"/>
    <x v="3"/>
    <x v="2"/>
    <x v="1"/>
    <x v="41"/>
    <x v="2"/>
    <x v="47"/>
  </r>
  <r>
    <x v="0"/>
    <x v="1"/>
    <x v="6"/>
    <x v="3"/>
    <x v="1"/>
    <x v="27"/>
    <x v="3"/>
    <x v="48"/>
  </r>
  <r>
    <x v="2"/>
    <x v="1"/>
    <x v="5"/>
    <x v="3"/>
    <x v="3"/>
    <x v="42"/>
    <x v="0"/>
    <x v="49"/>
  </r>
  <r>
    <x v="4"/>
    <x v="1"/>
    <x v="6"/>
    <x v="3"/>
    <x v="0"/>
    <x v="27"/>
    <x v="0"/>
    <x v="50"/>
  </r>
  <r>
    <x v="2"/>
    <x v="0"/>
    <x v="7"/>
    <x v="1"/>
    <x v="1"/>
    <x v="29"/>
    <x v="1"/>
    <x v="34"/>
  </r>
  <r>
    <x v="2"/>
    <x v="1"/>
    <x v="0"/>
    <x v="0"/>
    <x v="1"/>
    <x v="43"/>
    <x v="1"/>
    <x v="51"/>
  </r>
  <r>
    <x v="3"/>
    <x v="1"/>
    <x v="4"/>
    <x v="2"/>
    <x v="1"/>
    <x v="44"/>
    <x v="2"/>
    <x v="52"/>
  </r>
  <r>
    <x v="4"/>
    <x v="1"/>
    <x v="0"/>
    <x v="0"/>
    <x v="1"/>
    <x v="45"/>
    <x v="2"/>
    <x v="53"/>
  </r>
  <r>
    <x v="0"/>
    <x v="1"/>
    <x v="5"/>
    <x v="3"/>
    <x v="1"/>
    <x v="46"/>
    <x v="2"/>
    <x v="54"/>
  </r>
  <r>
    <x v="0"/>
    <x v="1"/>
    <x v="3"/>
    <x v="2"/>
    <x v="1"/>
    <x v="47"/>
    <x v="0"/>
    <x v="55"/>
  </r>
  <r>
    <x v="3"/>
    <x v="1"/>
    <x v="1"/>
    <x v="0"/>
    <x v="1"/>
    <x v="48"/>
    <x v="1"/>
    <x v="56"/>
  </r>
  <r>
    <x v="4"/>
    <x v="1"/>
    <x v="1"/>
    <x v="0"/>
    <x v="1"/>
    <x v="49"/>
    <x v="1"/>
    <x v="57"/>
  </r>
  <r>
    <x v="3"/>
    <x v="0"/>
    <x v="7"/>
    <x v="1"/>
    <x v="2"/>
    <x v="50"/>
    <x v="1"/>
    <x v="58"/>
  </r>
  <r>
    <x v="0"/>
    <x v="0"/>
    <x v="6"/>
    <x v="3"/>
    <x v="1"/>
    <x v="31"/>
    <x v="2"/>
    <x v="59"/>
  </r>
  <r>
    <x v="1"/>
    <x v="0"/>
    <x v="4"/>
    <x v="2"/>
    <x v="1"/>
    <x v="51"/>
    <x v="2"/>
    <x v="60"/>
  </r>
  <r>
    <x v="2"/>
    <x v="1"/>
    <x v="4"/>
    <x v="2"/>
    <x v="1"/>
    <x v="52"/>
    <x v="1"/>
    <x v="61"/>
  </r>
  <r>
    <x v="0"/>
    <x v="0"/>
    <x v="4"/>
    <x v="2"/>
    <x v="2"/>
    <x v="53"/>
    <x v="2"/>
    <x v="62"/>
  </r>
  <r>
    <x v="2"/>
    <x v="0"/>
    <x v="1"/>
    <x v="0"/>
    <x v="0"/>
    <x v="54"/>
    <x v="3"/>
    <x v="63"/>
  </r>
  <r>
    <x v="3"/>
    <x v="0"/>
    <x v="7"/>
    <x v="1"/>
    <x v="3"/>
    <x v="55"/>
    <x v="2"/>
    <x v="64"/>
  </r>
  <r>
    <x v="4"/>
    <x v="0"/>
    <x v="3"/>
    <x v="2"/>
    <x v="1"/>
    <x v="56"/>
    <x v="2"/>
    <x v="65"/>
  </r>
  <r>
    <x v="1"/>
    <x v="1"/>
    <x v="2"/>
    <x v="1"/>
    <x v="1"/>
    <x v="28"/>
    <x v="3"/>
    <x v="66"/>
  </r>
  <r>
    <x v="0"/>
    <x v="0"/>
    <x v="3"/>
    <x v="2"/>
    <x v="1"/>
    <x v="57"/>
    <x v="2"/>
    <x v="67"/>
  </r>
  <r>
    <x v="0"/>
    <x v="0"/>
    <x v="6"/>
    <x v="3"/>
    <x v="0"/>
    <x v="58"/>
    <x v="1"/>
    <x v="68"/>
  </r>
  <r>
    <x v="3"/>
    <x v="1"/>
    <x v="4"/>
    <x v="2"/>
    <x v="3"/>
    <x v="59"/>
    <x v="2"/>
    <x v="69"/>
  </r>
  <r>
    <x v="2"/>
    <x v="1"/>
    <x v="5"/>
    <x v="3"/>
    <x v="1"/>
    <x v="33"/>
    <x v="2"/>
    <x v="70"/>
  </r>
  <r>
    <x v="4"/>
    <x v="0"/>
    <x v="7"/>
    <x v="1"/>
    <x v="1"/>
    <x v="39"/>
    <x v="2"/>
    <x v="45"/>
  </r>
  <r>
    <x v="0"/>
    <x v="0"/>
    <x v="7"/>
    <x v="1"/>
    <x v="1"/>
    <x v="37"/>
    <x v="0"/>
    <x v="71"/>
  </r>
  <r>
    <x v="3"/>
    <x v="1"/>
    <x v="4"/>
    <x v="2"/>
    <x v="2"/>
    <x v="60"/>
    <x v="2"/>
    <x v="72"/>
  </r>
  <r>
    <x v="3"/>
    <x v="0"/>
    <x v="6"/>
    <x v="3"/>
    <x v="1"/>
    <x v="61"/>
    <x v="2"/>
    <x v="73"/>
  </r>
  <r>
    <x v="2"/>
    <x v="0"/>
    <x v="7"/>
    <x v="1"/>
    <x v="2"/>
    <x v="37"/>
    <x v="1"/>
    <x v="74"/>
  </r>
  <r>
    <x v="4"/>
    <x v="1"/>
    <x v="6"/>
    <x v="3"/>
    <x v="1"/>
    <x v="62"/>
    <x v="3"/>
    <x v="75"/>
  </r>
  <r>
    <x v="4"/>
    <x v="0"/>
    <x v="1"/>
    <x v="0"/>
    <x v="3"/>
    <x v="63"/>
    <x v="2"/>
    <x v="76"/>
  </r>
  <r>
    <x v="2"/>
    <x v="1"/>
    <x v="4"/>
    <x v="2"/>
    <x v="0"/>
    <x v="64"/>
    <x v="2"/>
    <x v="77"/>
  </r>
  <r>
    <x v="1"/>
    <x v="0"/>
    <x v="6"/>
    <x v="3"/>
    <x v="3"/>
    <x v="65"/>
    <x v="2"/>
    <x v="78"/>
  </r>
  <r>
    <x v="4"/>
    <x v="1"/>
    <x v="0"/>
    <x v="0"/>
    <x v="0"/>
    <x v="66"/>
    <x v="2"/>
    <x v="79"/>
  </r>
  <r>
    <x v="1"/>
    <x v="1"/>
    <x v="7"/>
    <x v="1"/>
    <x v="2"/>
    <x v="55"/>
    <x v="2"/>
    <x v="80"/>
  </r>
  <r>
    <x v="2"/>
    <x v="1"/>
    <x v="2"/>
    <x v="1"/>
    <x v="2"/>
    <x v="67"/>
    <x v="1"/>
    <x v="81"/>
  </r>
  <r>
    <x v="1"/>
    <x v="1"/>
    <x v="6"/>
    <x v="3"/>
    <x v="1"/>
    <x v="68"/>
    <x v="1"/>
    <x v="82"/>
  </r>
  <r>
    <x v="4"/>
    <x v="0"/>
    <x v="2"/>
    <x v="1"/>
    <x v="3"/>
    <x v="69"/>
    <x v="0"/>
    <x v="83"/>
  </r>
  <r>
    <x v="4"/>
    <x v="1"/>
    <x v="7"/>
    <x v="1"/>
    <x v="2"/>
    <x v="55"/>
    <x v="2"/>
    <x v="80"/>
  </r>
  <r>
    <x v="0"/>
    <x v="0"/>
    <x v="4"/>
    <x v="2"/>
    <x v="3"/>
    <x v="70"/>
    <x v="1"/>
    <x v="84"/>
  </r>
  <r>
    <x v="0"/>
    <x v="0"/>
    <x v="4"/>
    <x v="2"/>
    <x v="1"/>
    <x v="71"/>
    <x v="2"/>
    <x v="85"/>
  </r>
  <r>
    <x v="2"/>
    <x v="1"/>
    <x v="1"/>
    <x v="0"/>
    <x v="2"/>
    <x v="72"/>
    <x v="2"/>
    <x v="86"/>
  </r>
  <r>
    <x v="4"/>
    <x v="0"/>
    <x v="7"/>
    <x v="1"/>
    <x v="2"/>
    <x v="29"/>
    <x v="2"/>
    <x v="87"/>
  </r>
  <r>
    <x v="2"/>
    <x v="1"/>
    <x v="1"/>
    <x v="0"/>
    <x v="1"/>
    <x v="73"/>
    <x v="2"/>
    <x v="88"/>
  </r>
  <r>
    <x v="1"/>
    <x v="1"/>
    <x v="7"/>
    <x v="1"/>
    <x v="2"/>
    <x v="50"/>
    <x v="3"/>
    <x v="89"/>
  </r>
  <r>
    <x v="0"/>
    <x v="1"/>
    <x v="5"/>
    <x v="3"/>
    <x v="0"/>
    <x v="19"/>
    <x v="0"/>
    <x v="90"/>
  </r>
  <r>
    <x v="2"/>
    <x v="1"/>
    <x v="5"/>
    <x v="3"/>
    <x v="1"/>
    <x v="69"/>
    <x v="2"/>
    <x v="91"/>
  </r>
  <r>
    <x v="0"/>
    <x v="1"/>
    <x v="0"/>
    <x v="0"/>
    <x v="2"/>
    <x v="74"/>
    <x v="2"/>
    <x v="92"/>
  </r>
  <r>
    <x v="3"/>
    <x v="1"/>
    <x v="0"/>
    <x v="0"/>
    <x v="1"/>
    <x v="75"/>
    <x v="0"/>
    <x v="93"/>
  </r>
  <r>
    <x v="1"/>
    <x v="1"/>
    <x v="0"/>
    <x v="0"/>
    <x v="2"/>
    <x v="76"/>
    <x v="2"/>
    <x v="94"/>
  </r>
  <r>
    <x v="1"/>
    <x v="1"/>
    <x v="6"/>
    <x v="3"/>
    <x v="1"/>
    <x v="77"/>
    <x v="2"/>
    <x v="95"/>
  </r>
  <r>
    <x v="0"/>
    <x v="1"/>
    <x v="3"/>
    <x v="2"/>
    <x v="1"/>
    <x v="78"/>
    <x v="2"/>
    <x v="96"/>
  </r>
  <r>
    <x v="4"/>
    <x v="0"/>
    <x v="6"/>
    <x v="3"/>
    <x v="1"/>
    <x v="38"/>
    <x v="2"/>
    <x v="97"/>
  </r>
  <r>
    <x v="2"/>
    <x v="1"/>
    <x v="0"/>
    <x v="0"/>
    <x v="1"/>
    <x v="79"/>
    <x v="0"/>
    <x v="98"/>
  </r>
  <r>
    <x v="1"/>
    <x v="0"/>
    <x v="5"/>
    <x v="3"/>
    <x v="1"/>
    <x v="80"/>
    <x v="1"/>
    <x v="99"/>
  </r>
  <r>
    <x v="2"/>
    <x v="1"/>
    <x v="2"/>
    <x v="1"/>
    <x v="2"/>
    <x v="46"/>
    <x v="2"/>
    <x v="100"/>
  </r>
  <r>
    <x v="3"/>
    <x v="0"/>
    <x v="6"/>
    <x v="3"/>
    <x v="2"/>
    <x v="81"/>
    <x v="2"/>
    <x v="101"/>
  </r>
  <r>
    <x v="1"/>
    <x v="1"/>
    <x v="5"/>
    <x v="3"/>
    <x v="1"/>
    <x v="6"/>
    <x v="1"/>
    <x v="102"/>
  </r>
  <r>
    <x v="0"/>
    <x v="1"/>
    <x v="6"/>
    <x v="3"/>
    <x v="1"/>
    <x v="82"/>
    <x v="0"/>
    <x v="103"/>
  </r>
  <r>
    <x v="4"/>
    <x v="0"/>
    <x v="0"/>
    <x v="0"/>
    <x v="1"/>
    <x v="83"/>
    <x v="2"/>
    <x v="104"/>
  </r>
  <r>
    <x v="0"/>
    <x v="0"/>
    <x v="0"/>
    <x v="0"/>
    <x v="2"/>
    <x v="84"/>
    <x v="2"/>
    <x v="105"/>
  </r>
  <r>
    <x v="2"/>
    <x v="0"/>
    <x v="3"/>
    <x v="2"/>
    <x v="1"/>
    <x v="85"/>
    <x v="1"/>
    <x v="106"/>
  </r>
  <r>
    <x v="2"/>
    <x v="1"/>
    <x v="3"/>
    <x v="2"/>
    <x v="2"/>
    <x v="86"/>
    <x v="0"/>
    <x v="107"/>
  </r>
  <r>
    <x v="0"/>
    <x v="1"/>
    <x v="1"/>
    <x v="0"/>
    <x v="1"/>
    <x v="87"/>
    <x v="2"/>
    <x v="108"/>
  </r>
  <r>
    <x v="1"/>
    <x v="0"/>
    <x v="6"/>
    <x v="3"/>
    <x v="2"/>
    <x v="88"/>
    <x v="2"/>
    <x v="109"/>
  </r>
  <r>
    <x v="0"/>
    <x v="1"/>
    <x v="7"/>
    <x v="1"/>
    <x v="1"/>
    <x v="37"/>
    <x v="3"/>
    <x v="110"/>
  </r>
  <r>
    <x v="0"/>
    <x v="0"/>
    <x v="1"/>
    <x v="0"/>
    <x v="1"/>
    <x v="89"/>
    <x v="3"/>
    <x v="111"/>
  </r>
  <r>
    <x v="4"/>
    <x v="1"/>
    <x v="2"/>
    <x v="1"/>
    <x v="1"/>
    <x v="6"/>
    <x v="3"/>
    <x v="112"/>
  </r>
  <r>
    <x v="4"/>
    <x v="0"/>
    <x v="7"/>
    <x v="1"/>
    <x v="1"/>
    <x v="37"/>
    <x v="2"/>
    <x v="113"/>
  </r>
  <r>
    <x v="0"/>
    <x v="1"/>
    <x v="4"/>
    <x v="2"/>
    <x v="2"/>
    <x v="90"/>
    <x v="2"/>
    <x v="114"/>
  </r>
  <r>
    <x v="1"/>
    <x v="1"/>
    <x v="7"/>
    <x v="1"/>
    <x v="2"/>
    <x v="37"/>
    <x v="2"/>
    <x v="115"/>
  </r>
  <r>
    <x v="2"/>
    <x v="0"/>
    <x v="7"/>
    <x v="1"/>
    <x v="1"/>
    <x v="37"/>
    <x v="2"/>
    <x v="113"/>
  </r>
  <r>
    <x v="1"/>
    <x v="1"/>
    <x v="3"/>
    <x v="2"/>
    <x v="2"/>
    <x v="91"/>
    <x v="2"/>
    <x v="116"/>
  </r>
  <r>
    <x v="2"/>
    <x v="1"/>
    <x v="0"/>
    <x v="0"/>
    <x v="1"/>
    <x v="92"/>
    <x v="2"/>
    <x v="117"/>
  </r>
  <r>
    <x v="2"/>
    <x v="1"/>
    <x v="3"/>
    <x v="2"/>
    <x v="0"/>
    <x v="93"/>
    <x v="2"/>
    <x v="118"/>
  </r>
  <r>
    <x v="2"/>
    <x v="1"/>
    <x v="7"/>
    <x v="1"/>
    <x v="3"/>
    <x v="37"/>
    <x v="2"/>
    <x v="119"/>
  </r>
  <r>
    <x v="0"/>
    <x v="1"/>
    <x v="0"/>
    <x v="0"/>
    <x v="0"/>
    <x v="94"/>
    <x v="0"/>
    <x v="120"/>
  </r>
  <r>
    <x v="1"/>
    <x v="1"/>
    <x v="7"/>
    <x v="1"/>
    <x v="2"/>
    <x v="39"/>
    <x v="0"/>
    <x v="71"/>
  </r>
  <r>
    <x v="3"/>
    <x v="1"/>
    <x v="0"/>
    <x v="0"/>
    <x v="2"/>
    <x v="95"/>
    <x v="2"/>
    <x v="121"/>
  </r>
  <r>
    <x v="2"/>
    <x v="0"/>
    <x v="4"/>
    <x v="2"/>
    <x v="1"/>
    <x v="96"/>
    <x v="1"/>
    <x v="122"/>
  </r>
  <r>
    <x v="0"/>
    <x v="1"/>
    <x v="2"/>
    <x v="1"/>
    <x v="3"/>
    <x v="97"/>
    <x v="2"/>
    <x v="123"/>
  </r>
  <r>
    <x v="4"/>
    <x v="1"/>
    <x v="5"/>
    <x v="3"/>
    <x v="0"/>
    <x v="18"/>
    <x v="3"/>
    <x v="124"/>
  </r>
  <r>
    <x v="3"/>
    <x v="1"/>
    <x v="0"/>
    <x v="0"/>
    <x v="2"/>
    <x v="98"/>
    <x v="3"/>
    <x v="125"/>
  </r>
  <r>
    <x v="3"/>
    <x v="1"/>
    <x v="7"/>
    <x v="1"/>
    <x v="0"/>
    <x v="55"/>
    <x v="3"/>
    <x v="126"/>
  </r>
  <r>
    <x v="4"/>
    <x v="1"/>
    <x v="5"/>
    <x v="3"/>
    <x v="2"/>
    <x v="99"/>
    <x v="2"/>
    <x v="127"/>
  </r>
  <r>
    <x v="1"/>
    <x v="1"/>
    <x v="6"/>
    <x v="3"/>
    <x v="1"/>
    <x v="100"/>
    <x v="1"/>
    <x v="128"/>
  </r>
  <r>
    <x v="4"/>
    <x v="1"/>
    <x v="2"/>
    <x v="1"/>
    <x v="1"/>
    <x v="67"/>
    <x v="2"/>
    <x v="129"/>
  </r>
  <r>
    <x v="3"/>
    <x v="1"/>
    <x v="4"/>
    <x v="2"/>
    <x v="1"/>
    <x v="101"/>
    <x v="2"/>
    <x v="130"/>
  </r>
  <r>
    <x v="1"/>
    <x v="1"/>
    <x v="3"/>
    <x v="2"/>
    <x v="0"/>
    <x v="102"/>
    <x v="2"/>
    <x v="131"/>
  </r>
  <r>
    <x v="1"/>
    <x v="1"/>
    <x v="5"/>
    <x v="3"/>
    <x v="1"/>
    <x v="80"/>
    <x v="2"/>
    <x v="132"/>
  </r>
  <r>
    <x v="0"/>
    <x v="1"/>
    <x v="3"/>
    <x v="2"/>
    <x v="1"/>
    <x v="103"/>
    <x v="1"/>
    <x v="133"/>
  </r>
  <r>
    <x v="2"/>
    <x v="0"/>
    <x v="1"/>
    <x v="0"/>
    <x v="0"/>
    <x v="104"/>
    <x v="2"/>
    <x v="134"/>
  </r>
  <r>
    <x v="4"/>
    <x v="1"/>
    <x v="6"/>
    <x v="3"/>
    <x v="1"/>
    <x v="105"/>
    <x v="1"/>
    <x v="135"/>
  </r>
  <r>
    <x v="3"/>
    <x v="1"/>
    <x v="0"/>
    <x v="0"/>
    <x v="1"/>
    <x v="106"/>
    <x v="2"/>
    <x v="136"/>
  </r>
  <r>
    <x v="2"/>
    <x v="1"/>
    <x v="4"/>
    <x v="2"/>
    <x v="2"/>
    <x v="11"/>
    <x v="2"/>
    <x v="137"/>
  </r>
  <r>
    <x v="1"/>
    <x v="1"/>
    <x v="3"/>
    <x v="2"/>
    <x v="2"/>
    <x v="107"/>
    <x v="2"/>
    <x v="138"/>
  </r>
  <r>
    <x v="1"/>
    <x v="1"/>
    <x v="4"/>
    <x v="2"/>
    <x v="2"/>
    <x v="108"/>
    <x v="2"/>
    <x v="139"/>
  </r>
  <r>
    <x v="2"/>
    <x v="1"/>
    <x v="5"/>
    <x v="3"/>
    <x v="1"/>
    <x v="109"/>
    <x v="1"/>
    <x v="140"/>
  </r>
  <r>
    <x v="4"/>
    <x v="0"/>
    <x v="7"/>
    <x v="1"/>
    <x v="2"/>
    <x v="29"/>
    <x v="0"/>
    <x v="141"/>
  </r>
  <r>
    <x v="3"/>
    <x v="0"/>
    <x v="6"/>
    <x v="3"/>
    <x v="1"/>
    <x v="110"/>
    <x v="2"/>
    <x v="142"/>
  </r>
  <r>
    <x v="4"/>
    <x v="1"/>
    <x v="4"/>
    <x v="2"/>
    <x v="2"/>
    <x v="111"/>
    <x v="2"/>
    <x v="143"/>
  </r>
  <r>
    <x v="1"/>
    <x v="1"/>
    <x v="5"/>
    <x v="3"/>
    <x v="2"/>
    <x v="46"/>
    <x v="2"/>
    <x v="100"/>
  </r>
  <r>
    <x v="1"/>
    <x v="1"/>
    <x v="1"/>
    <x v="0"/>
    <x v="0"/>
    <x v="112"/>
    <x v="2"/>
    <x v="144"/>
  </r>
  <r>
    <x v="2"/>
    <x v="1"/>
    <x v="3"/>
    <x v="2"/>
    <x v="1"/>
    <x v="113"/>
    <x v="1"/>
    <x v="145"/>
  </r>
  <r>
    <x v="0"/>
    <x v="1"/>
    <x v="1"/>
    <x v="0"/>
    <x v="2"/>
    <x v="114"/>
    <x v="3"/>
    <x v="146"/>
  </r>
  <r>
    <x v="0"/>
    <x v="1"/>
    <x v="0"/>
    <x v="0"/>
    <x v="1"/>
    <x v="115"/>
    <x v="1"/>
    <x v="147"/>
  </r>
  <r>
    <x v="3"/>
    <x v="0"/>
    <x v="0"/>
    <x v="0"/>
    <x v="1"/>
    <x v="116"/>
    <x v="3"/>
    <x v="148"/>
  </r>
  <r>
    <x v="1"/>
    <x v="0"/>
    <x v="2"/>
    <x v="1"/>
    <x v="3"/>
    <x v="6"/>
    <x v="2"/>
    <x v="149"/>
  </r>
  <r>
    <x v="2"/>
    <x v="0"/>
    <x v="3"/>
    <x v="2"/>
    <x v="0"/>
    <x v="117"/>
    <x v="2"/>
    <x v="150"/>
  </r>
  <r>
    <x v="3"/>
    <x v="1"/>
    <x v="5"/>
    <x v="3"/>
    <x v="1"/>
    <x v="118"/>
    <x v="1"/>
    <x v="151"/>
  </r>
  <r>
    <x v="4"/>
    <x v="0"/>
    <x v="2"/>
    <x v="1"/>
    <x v="1"/>
    <x v="33"/>
    <x v="3"/>
    <x v="152"/>
  </r>
  <r>
    <x v="3"/>
    <x v="1"/>
    <x v="3"/>
    <x v="2"/>
    <x v="1"/>
    <x v="119"/>
    <x v="2"/>
    <x v="153"/>
  </r>
  <r>
    <x v="0"/>
    <x v="1"/>
    <x v="5"/>
    <x v="3"/>
    <x v="3"/>
    <x v="4"/>
    <x v="1"/>
    <x v="154"/>
  </r>
  <r>
    <x v="2"/>
    <x v="0"/>
    <x v="7"/>
    <x v="1"/>
    <x v="2"/>
    <x v="39"/>
    <x v="3"/>
    <x v="110"/>
  </r>
  <r>
    <x v="3"/>
    <x v="1"/>
    <x v="6"/>
    <x v="3"/>
    <x v="1"/>
    <x v="62"/>
    <x v="1"/>
    <x v="155"/>
  </r>
  <r>
    <x v="1"/>
    <x v="1"/>
    <x v="1"/>
    <x v="0"/>
    <x v="1"/>
    <x v="120"/>
    <x v="2"/>
    <x v="156"/>
  </r>
  <r>
    <x v="4"/>
    <x v="1"/>
    <x v="3"/>
    <x v="2"/>
    <x v="1"/>
    <x v="121"/>
    <x v="2"/>
    <x v="157"/>
  </r>
  <r>
    <x v="3"/>
    <x v="1"/>
    <x v="7"/>
    <x v="1"/>
    <x v="2"/>
    <x v="122"/>
    <x v="2"/>
    <x v="32"/>
  </r>
  <r>
    <x v="4"/>
    <x v="0"/>
    <x v="4"/>
    <x v="2"/>
    <x v="1"/>
    <x v="123"/>
    <x v="2"/>
    <x v="158"/>
  </r>
  <r>
    <x v="3"/>
    <x v="0"/>
    <x v="4"/>
    <x v="2"/>
    <x v="1"/>
    <x v="124"/>
    <x v="2"/>
    <x v="159"/>
  </r>
  <r>
    <x v="0"/>
    <x v="0"/>
    <x v="4"/>
    <x v="2"/>
    <x v="1"/>
    <x v="125"/>
    <x v="0"/>
    <x v="160"/>
  </r>
  <r>
    <x v="2"/>
    <x v="1"/>
    <x v="4"/>
    <x v="2"/>
    <x v="1"/>
    <x v="126"/>
    <x v="0"/>
    <x v="161"/>
  </r>
  <r>
    <x v="2"/>
    <x v="1"/>
    <x v="2"/>
    <x v="1"/>
    <x v="1"/>
    <x v="37"/>
    <x v="1"/>
    <x v="162"/>
  </r>
  <r>
    <x v="2"/>
    <x v="0"/>
    <x v="4"/>
    <x v="2"/>
    <x v="0"/>
    <x v="127"/>
    <x v="3"/>
    <x v="163"/>
  </r>
  <r>
    <x v="4"/>
    <x v="1"/>
    <x v="4"/>
    <x v="2"/>
    <x v="1"/>
    <x v="128"/>
    <x v="2"/>
    <x v="164"/>
  </r>
  <r>
    <x v="4"/>
    <x v="1"/>
    <x v="0"/>
    <x v="0"/>
    <x v="1"/>
    <x v="129"/>
    <x v="1"/>
    <x v="165"/>
  </r>
  <r>
    <x v="3"/>
    <x v="1"/>
    <x v="6"/>
    <x v="3"/>
    <x v="1"/>
    <x v="130"/>
    <x v="0"/>
    <x v="166"/>
  </r>
  <r>
    <x v="2"/>
    <x v="0"/>
    <x v="6"/>
    <x v="3"/>
    <x v="2"/>
    <x v="131"/>
    <x v="0"/>
    <x v="167"/>
  </r>
  <r>
    <x v="3"/>
    <x v="1"/>
    <x v="2"/>
    <x v="1"/>
    <x v="0"/>
    <x v="37"/>
    <x v="2"/>
    <x v="168"/>
  </r>
  <r>
    <x v="3"/>
    <x v="1"/>
    <x v="5"/>
    <x v="3"/>
    <x v="0"/>
    <x v="6"/>
    <x v="2"/>
    <x v="169"/>
  </r>
  <r>
    <x v="3"/>
    <x v="1"/>
    <x v="2"/>
    <x v="1"/>
    <x v="0"/>
    <x v="4"/>
    <x v="2"/>
    <x v="170"/>
  </r>
  <r>
    <x v="5"/>
    <x v="2"/>
    <x v="8"/>
    <x v="4"/>
    <x v="4"/>
    <x v="132"/>
    <x v="4"/>
    <x v="17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81">
  <r>
    <x v="0"/>
    <x v="0"/>
    <x v="0"/>
    <x v="0"/>
    <x v="0"/>
  </r>
  <r>
    <x v="0"/>
    <x v="1"/>
    <x v="1"/>
    <x v="1"/>
    <x v="1"/>
  </r>
  <r>
    <x v="0"/>
    <x v="2"/>
    <x v="2"/>
    <x v="2"/>
    <x v="2"/>
  </r>
  <r>
    <x v="0"/>
    <x v="1"/>
    <x v="3"/>
    <x v="3"/>
    <x v="3"/>
  </r>
  <r>
    <x v="1"/>
    <x v="0"/>
    <x v="4"/>
    <x v="3"/>
    <x v="4"/>
  </r>
  <r>
    <x v="2"/>
    <x v="3"/>
    <x v="5"/>
    <x v="0"/>
    <x v="5"/>
  </r>
  <r>
    <x v="1"/>
    <x v="2"/>
    <x v="6"/>
    <x v="3"/>
    <x v="6"/>
  </r>
  <r>
    <x v="0"/>
    <x v="2"/>
    <x v="7"/>
    <x v="2"/>
    <x v="7"/>
  </r>
  <r>
    <x v="0"/>
    <x v="1"/>
    <x v="8"/>
    <x v="2"/>
    <x v="8"/>
  </r>
  <r>
    <x v="2"/>
    <x v="2"/>
    <x v="9"/>
    <x v="1"/>
    <x v="9"/>
  </r>
  <r>
    <x v="2"/>
    <x v="3"/>
    <x v="10"/>
    <x v="0"/>
    <x v="10"/>
  </r>
  <r>
    <x v="2"/>
    <x v="2"/>
    <x v="11"/>
    <x v="0"/>
    <x v="11"/>
  </r>
  <r>
    <x v="0"/>
    <x v="2"/>
    <x v="12"/>
    <x v="2"/>
    <x v="12"/>
  </r>
  <r>
    <x v="2"/>
    <x v="1"/>
    <x v="13"/>
    <x v="2"/>
    <x v="13"/>
  </r>
  <r>
    <x v="0"/>
    <x v="2"/>
    <x v="14"/>
    <x v="3"/>
    <x v="14"/>
  </r>
  <r>
    <x v="0"/>
    <x v="1"/>
    <x v="15"/>
    <x v="2"/>
    <x v="15"/>
  </r>
  <r>
    <x v="2"/>
    <x v="1"/>
    <x v="16"/>
    <x v="2"/>
    <x v="16"/>
  </r>
  <r>
    <x v="0"/>
    <x v="3"/>
    <x v="0"/>
    <x v="0"/>
    <x v="17"/>
  </r>
  <r>
    <x v="0"/>
    <x v="1"/>
    <x v="17"/>
    <x v="0"/>
    <x v="18"/>
  </r>
  <r>
    <x v="3"/>
    <x v="0"/>
    <x v="18"/>
    <x v="0"/>
    <x v="19"/>
  </r>
  <r>
    <x v="3"/>
    <x v="1"/>
    <x v="19"/>
    <x v="2"/>
    <x v="20"/>
  </r>
  <r>
    <x v="2"/>
    <x v="1"/>
    <x v="20"/>
    <x v="0"/>
    <x v="21"/>
  </r>
  <r>
    <x v="2"/>
    <x v="1"/>
    <x v="21"/>
    <x v="1"/>
    <x v="22"/>
  </r>
  <r>
    <x v="3"/>
    <x v="2"/>
    <x v="22"/>
    <x v="2"/>
    <x v="23"/>
  </r>
  <r>
    <x v="0"/>
    <x v="1"/>
    <x v="23"/>
    <x v="1"/>
    <x v="24"/>
  </r>
  <r>
    <x v="0"/>
    <x v="1"/>
    <x v="24"/>
    <x v="1"/>
    <x v="25"/>
  </r>
  <r>
    <x v="2"/>
    <x v="1"/>
    <x v="25"/>
    <x v="2"/>
    <x v="26"/>
  </r>
  <r>
    <x v="0"/>
    <x v="3"/>
    <x v="26"/>
    <x v="2"/>
    <x v="27"/>
  </r>
  <r>
    <x v="3"/>
    <x v="2"/>
    <x v="27"/>
    <x v="1"/>
    <x v="28"/>
  </r>
  <r>
    <x v="1"/>
    <x v="1"/>
    <x v="19"/>
    <x v="3"/>
    <x v="29"/>
  </r>
  <r>
    <x v="1"/>
    <x v="0"/>
    <x v="28"/>
    <x v="2"/>
    <x v="30"/>
  </r>
  <r>
    <x v="1"/>
    <x v="2"/>
    <x v="4"/>
    <x v="1"/>
    <x v="31"/>
  </r>
  <r>
    <x v="1"/>
    <x v="1"/>
    <x v="29"/>
    <x v="2"/>
    <x v="32"/>
  </r>
  <r>
    <x v="0"/>
    <x v="0"/>
    <x v="30"/>
    <x v="2"/>
    <x v="33"/>
  </r>
  <r>
    <x v="1"/>
    <x v="1"/>
    <x v="29"/>
    <x v="1"/>
    <x v="34"/>
  </r>
  <r>
    <x v="3"/>
    <x v="2"/>
    <x v="31"/>
    <x v="2"/>
    <x v="35"/>
  </r>
  <r>
    <x v="3"/>
    <x v="0"/>
    <x v="32"/>
    <x v="2"/>
    <x v="36"/>
  </r>
  <r>
    <x v="3"/>
    <x v="2"/>
    <x v="33"/>
    <x v="2"/>
    <x v="37"/>
  </r>
  <r>
    <x v="2"/>
    <x v="2"/>
    <x v="34"/>
    <x v="2"/>
    <x v="38"/>
  </r>
  <r>
    <x v="0"/>
    <x v="2"/>
    <x v="35"/>
    <x v="3"/>
    <x v="39"/>
  </r>
  <r>
    <x v="0"/>
    <x v="1"/>
    <x v="23"/>
    <x v="3"/>
    <x v="40"/>
  </r>
  <r>
    <x v="0"/>
    <x v="3"/>
    <x v="36"/>
    <x v="1"/>
    <x v="41"/>
  </r>
  <r>
    <x v="2"/>
    <x v="3"/>
    <x v="27"/>
    <x v="2"/>
    <x v="42"/>
  </r>
  <r>
    <x v="1"/>
    <x v="3"/>
    <x v="37"/>
    <x v="1"/>
    <x v="43"/>
  </r>
  <r>
    <x v="2"/>
    <x v="1"/>
    <x v="38"/>
    <x v="1"/>
    <x v="44"/>
  </r>
  <r>
    <x v="1"/>
    <x v="1"/>
    <x v="39"/>
    <x v="2"/>
    <x v="45"/>
  </r>
  <r>
    <x v="0"/>
    <x v="0"/>
    <x v="40"/>
    <x v="0"/>
    <x v="46"/>
  </r>
  <r>
    <x v="1"/>
    <x v="1"/>
    <x v="29"/>
    <x v="2"/>
    <x v="32"/>
  </r>
  <r>
    <x v="2"/>
    <x v="1"/>
    <x v="41"/>
    <x v="2"/>
    <x v="47"/>
  </r>
  <r>
    <x v="3"/>
    <x v="1"/>
    <x v="27"/>
    <x v="3"/>
    <x v="48"/>
  </r>
  <r>
    <x v="3"/>
    <x v="3"/>
    <x v="42"/>
    <x v="0"/>
    <x v="49"/>
  </r>
  <r>
    <x v="3"/>
    <x v="0"/>
    <x v="27"/>
    <x v="0"/>
    <x v="50"/>
  </r>
  <r>
    <x v="1"/>
    <x v="1"/>
    <x v="29"/>
    <x v="1"/>
    <x v="34"/>
  </r>
  <r>
    <x v="0"/>
    <x v="1"/>
    <x v="43"/>
    <x v="1"/>
    <x v="51"/>
  </r>
  <r>
    <x v="2"/>
    <x v="1"/>
    <x v="44"/>
    <x v="2"/>
    <x v="52"/>
  </r>
  <r>
    <x v="0"/>
    <x v="1"/>
    <x v="45"/>
    <x v="2"/>
    <x v="53"/>
  </r>
  <r>
    <x v="3"/>
    <x v="1"/>
    <x v="46"/>
    <x v="2"/>
    <x v="54"/>
  </r>
  <r>
    <x v="2"/>
    <x v="1"/>
    <x v="47"/>
    <x v="0"/>
    <x v="55"/>
  </r>
  <r>
    <x v="0"/>
    <x v="1"/>
    <x v="48"/>
    <x v="1"/>
    <x v="56"/>
  </r>
  <r>
    <x v="0"/>
    <x v="1"/>
    <x v="49"/>
    <x v="1"/>
    <x v="57"/>
  </r>
  <r>
    <x v="1"/>
    <x v="2"/>
    <x v="50"/>
    <x v="1"/>
    <x v="58"/>
  </r>
  <r>
    <x v="3"/>
    <x v="1"/>
    <x v="31"/>
    <x v="2"/>
    <x v="59"/>
  </r>
  <r>
    <x v="2"/>
    <x v="1"/>
    <x v="51"/>
    <x v="2"/>
    <x v="60"/>
  </r>
  <r>
    <x v="2"/>
    <x v="1"/>
    <x v="52"/>
    <x v="1"/>
    <x v="61"/>
  </r>
  <r>
    <x v="2"/>
    <x v="2"/>
    <x v="53"/>
    <x v="2"/>
    <x v="62"/>
  </r>
  <r>
    <x v="0"/>
    <x v="0"/>
    <x v="54"/>
    <x v="3"/>
    <x v="63"/>
  </r>
  <r>
    <x v="1"/>
    <x v="3"/>
    <x v="55"/>
    <x v="2"/>
    <x v="64"/>
  </r>
  <r>
    <x v="2"/>
    <x v="1"/>
    <x v="56"/>
    <x v="2"/>
    <x v="65"/>
  </r>
  <r>
    <x v="1"/>
    <x v="1"/>
    <x v="28"/>
    <x v="3"/>
    <x v="66"/>
  </r>
  <r>
    <x v="2"/>
    <x v="1"/>
    <x v="57"/>
    <x v="2"/>
    <x v="67"/>
  </r>
  <r>
    <x v="3"/>
    <x v="0"/>
    <x v="58"/>
    <x v="1"/>
    <x v="68"/>
  </r>
  <r>
    <x v="2"/>
    <x v="3"/>
    <x v="59"/>
    <x v="2"/>
    <x v="69"/>
  </r>
  <r>
    <x v="3"/>
    <x v="1"/>
    <x v="33"/>
    <x v="2"/>
    <x v="70"/>
  </r>
  <r>
    <x v="1"/>
    <x v="1"/>
    <x v="39"/>
    <x v="2"/>
    <x v="45"/>
  </r>
  <r>
    <x v="1"/>
    <x v="1"/>
    <x v="37"/>
    <x v="0"/>
    <x v="71"/>
  </r>
  <r>
    <x v="2"/>
    <x v="2"/>
    <x v="60"/>
    <x v="2"/>
    <x v="72"/>
  </r>
  <r>
    <x v="3"/>
    <x v="1"/>
    <x v="61"/>
    <x v="2"/>
    <x v="73"/>
  </r>
  <r>
    <x v="1"/>
    <x v="2"/>
    <x v="37"/>
    <x v="1"/>
    <x v="74"/>
  </r>
  <r>
    <x v="3"/>
    <x v="1"/>
    <x v="62"/>
    <x v="3"/>
    <x v="75"/>
  </r>
  <r>
    <x v="0"/>
    <x v="3"/>
    <x v="63"/>
    <x v="2"/>
    <x v="76"/>
  </r>
  <r>
    <x v="2"/>
    <x v="0"/>
    <x v="64"/>
    <x v="2"/>
    <x v="77"/>
  </r>
  <r>
    <x v="3"/>
    <x v="3"/>
    <x v="65"/>
    <x v="2"/>
    <x v="78"/>
  </r>
  <r>
    <x v="0"/>
    <x v="0"/>
    <x v="66"/>
    <x v="2"/>
    <x v="79"/>
  </r>
  <r>
    <x v="1"/>
    <x v="2"/>
    <x v="55"/>
    <x v="2"/>
    <x v="80"/>
  </r>
  <r>
    <x v="1"/>
    <x v="2"/>
    <x v="67"/>
    <x v="1"/>
    <x v="81"/>
  </r>
  <r>
    <x v="3"/>
    <x v="1"/>
    <x v="68"/>
    <x v="1"/>
    <x v="82"/>
  </r>
  <r>
    <x v="1"/>
    <x v="3"/>
    <x v="69"/>
    <x v="0"/>
    <x v="83"/>
  </r>
  <r>
    <x v="1"/>
    <x v="2"/>
    <x v="55"/>
    <x v="2"/>
    <x v="80"/>
  </r>
  <r>
    <x v="2"/>
    <x v="3"/>
    <x v="70"/>
    <x v="1"/>
    <x v="84"/>
  </r>
  <r>
    <x v="2"/>
    <x v="1"/>
    <x v="71"/>
    <x v="2"/>
    <x v="85"/>
  </r>
  <r>
    <x v="0"/>
    <x v="2"/>
    <x v="72"/>
    <x v="2"/>
    <x v="86"/>
  </r>
  <r>
    <x v="1"/>
    <x v="2"/>
    <x v="29"/>
    <x v="2"/>
    <x v="87"/>
  </r>
  <r>
    <x v="0"/>
    <x v="1"/>
    <x v="73"/>
    <x v="2"/>
    <x v="88"/>
  </r>
  <r>
    <x v="1"/>
    <x v="2"/>
    <x v="50"/>
    <x v="3"/>
    <x v="89"/>
  </r>
  <r>
    <x v="3"/>
    <x v="0"/>
    <x v="19"/>
    <x v="0"/>
    <x v="90"/>
  </r>
  <r>
    <x v="3"/>
    <x v="1"/>
    <x v="69"/>
    <x v="2"/>
    <x v="91"/>
  </r>
  <r>
    <x v="0"/>
    <x v="2"/>
    <x v="74"/>
    <x v="2"/>
    <x v="92"/>
  </r>
  <r>
    <x v="0"/>
    <x v="1"/>
    <x v="75"/>
    <x v="0"/>
    <x v="93"/>
  </r>
  <r>
    <x v="0"/>
    <x v="2"/>
    <x v="76"/>
    <x v="2"/>
    <x v="94"/>
  </r>
  <r>
    <x v="3"/>
    <x v="1"/>
    <x v="77"/>
    <x v="2"/>
    <x v="95"/>
  </r>
  <r>
    <x v="2"/>
    <x v="1"/>
    <x v="78"/>
    <x v="2"/>
    <x v="96"/>
  </r>
  <r>
    <x v="3"/>
    <x v="1"/>
    <x v="38"/>
    <x v="2"/>
    <x v="97"/>
  </r>
  <r>
    <x v="0"/>
    <x v="1"/>
    <x v="79"/>
    <x v="0"/>
    <x v="98"/>
  </r>
  <r>
    <x v="3"/>
    <x v="1"/>
    <x v="80"/>
    <x v="1"/>
    <x v="99"/>
  </r>
  <r>
    <x v="1"/>
    <x v="2"/>
    <x v="46"/>
    <x v="2"/>
    <x v="100"/>
  </r>
  <r>
    <x v="3"/>
    <x v="2"/>
    <x v="81"/>
    <x v="2"/>
    <x v="101"/>
  </r>
  <r>
    <x v="3"/>
    <x v="1"/>
    <x v="6"/>
    <x v="1"/>
    <x v="102"/>
  </r>
  <r>
    <x v="3"/>
    <x v="1"/>
    <x v="82"/>
    <x v="0"/>
    <x v="103"/>
  </r>
  <r>
    <x v="0"/>
    <x v="1"/>
    <x v="83"/>
    <x v="2"/>
    <x v="104"/>
  </r>
  <r>
    <x v="0"/>
    <x v="2"/>
    <x v="84"/>
    <x v="2"/>
    <x v="105"/>
  </r>
  <r>
    <x v="2"/>
    <x v="1"/>
    <x v="85"/>
    <x v="1"/>
    <x v="106"/>
  </r>
  <r>
    <x v="2"/>
    <x v="2"/>
    <x v="86"/>
    <x v="0"/>
    <x v="107"/>
  </r>
  <r>
    <x v="0"/>
    <x v="1"/>
    <x v="87"/>
    <x v="2"/>
    <x v="108"/>
  </r>
  <r>
    <x v="3"/>
    <x v="2"/>
    <x v="88"/>
    <x v="2"/>
    <x v="109"/>
  </r>
  <r>
    <x v="1"/>
    <x v="1"/>
    <x v="37"/>
    <x v="3"/>
    <x v="110"/>
  </r>
  <r>
    <x v="0"/>
    <x v="1"/>
    <x v="89"/>
    <x v="3"/>
    <x v="111"/>
  </r>
  <r>
    <x v="1"/>
    <x v="1"/>
    <x v="6"/>
    <x v="3"/>
    <x v="112"/>
  </r>
  <r>
    <x v="1"/>
    <x v="1"/>
    <x v="37"/>
    <x v="2"/>
    <x v="113"/>
  </r>
  <r>
    <x v="2"/>
    <x v="2"/>
    <x v="90"/>
    <x v="2"/>
    <x v="114"/>
  </r>
  <r>
    <x v="1"/>
    <x v="2"/>
    <x v="37"/>
    <x v="2"/>
    <x v="115"/>
  </r>
  <r>
    <x v="1"/>
    <x v="1"/>
    <x v="37"/>
    <x v="2"/>
    <x v="113"/>
  </r>
  <r>
    <x v="2"/>
    <x v="2"/>
    <x v="91"/>
    <x v="2"/>
    <x v="116"/>
  </r>
  <r>
    <x v="0"/>
    <x v="1"/>
    <x v="92"/>
    <x v="2"/>
    <x v="117"/>
  </r>
  <r>
    <x v="2"/>
    <x v="0"/>
    <x v="93"/>
    <x v="2"/>
    <x v="118"/>
  </r>
  <r>
    <x v="1"/>
    <x v="3"/>
    <x v="37"/>
    <x v="2"/>
    <x v="119"/>
  </r>
  <r>
    <x v="0"/>
    <x v="0"/>
    <x v="94"/>
    <x v="0"/>
    <x v="120"/>
  </r>
  <r>
    <x v="1"/>
    <x v="2"/>
    <x v="39"/>
    <x v="0"/>
    <x v="71"/>
  </r>
  <r>
    <x v="0"/>
    <x v="2"/>
    <x v="95"/>
    <x v="2"/>
    <x v="121"/>
  </r>
  <r>
    <x v="2"/>
    <x v="1"/>
    <x v="96"/>
    <x v="1"/>
    <x v="122"/>
  </r>
  <r>
    <x v="1"/>
    <x v="3"/>
    <x v="97"/>
    <x v="2"/>
    <x v="123"/>
  </r>
  <r>
    <x v="3"/>
    <x v="0"/>
    <x v="18"/>
    <x v="3"/>
    <x v="124"/>
  </r>
  <r>
    <x v="0"/>
    <x v="2"/>
    <x v="98"/>
    <x v="3"/>
    <x v="125"/>
  </r>
  <r>
    <x v="1"/>
    <x v="0"/>
    <x v="55"/>
    <x v="3"/>
    <x v="126"/>
  </r>
  <r>
    <x v="3"/>
    <x v="2"/>
    <x v="99"/>
    <x v="2"/>
    <x v="127"/>
  </r>
  <r>
    <x v="3"/>
    <x v="1"/>
    <x v="100"/>
    <x v="1"/>
    <x v="128"/>
  </r>
  <r>
    <x v="1"/>
    <x v="1"/>
    <x v="67"/>
    <x v="2"/>
    <x v="129"/>
  </r>
  <r>
    <x v="2"/>
    <x v="1"/>
    <x v="101"/>
    <x v="2"/>
    <x v="130"/>
  </r>
  <r>
    <x v="2"/>
    <x v="0"/>
    <x v="102"/>
    <x v="2"/>
    <x v="131"/>
  </r>
  <r>
    <x v="3"/>
    <x v="1"/>
    <x v="80"/>
    <x v="2"/>
    <x v="132"/>
  </r>
  <r>
    <x v="2"/>
    <x v="1"/>
    <x v="103"/>
    <x v="1"/>
    <x v="133"/>
  </r>
  <r>
    <x v="0"/>
    <x v="0"/>
    <x v="104"/>
    <x v="2"/>
    <x v="134"/>
  </r>
  <r>
    <x v="3"/>
    <x v="1"/>
    <x v="105"/>
    <x v="1"/>
    <x v="135"/>
  </r>
  <r>
    <x v="0"/>
    <x v="1"/>
    <x v="106"/>
    <x v="2"/>
    <x v="136"/>
  </r>
  <r>
    <x v="2"/>
    <x v="2"/>
    <x v="11"/>
    <x v="2"/>
    <x v="137"/>
  </r>
  <r>
    <x v="2"/>
    <x v="2"/>
    <x v="107"/>
    <x v="2"/>
    <x v="138"/>
  </r>
  <r>
    <x v="2"/>
    <x v="2"/>
    <x v="108"/>
    <x v="2"/>
    <x v="139"/>
  </r>
  <r>
    <x v="3"/>
    <x v="1"/>
    <x v="109"/>
    <x v="1"/>
    <x v="140"/>
  </r>
  <r>
    <x v="1"/>
    <x v="2"/>
    <x v="29"/>
    <x v="0"/>
    <x v="141"/>
  </r>
  <r>
    <x v="3"/>
    <x v="1"/>
    <x v="110"/>
    <x v="2"/>
    <x v="142"/>
  </r>
  <r>
    <x v="2"/>
    <x v="2"/>
    <x v="111"/>
    <x v="2"/>
    <x v="143"/>
  </r>
  <r>
    <x v="3"/>
    <x v="2"/>
    <x v="46"/>
    <x v="2"/>
    <x v="100"/>
  </r>
  <r>
    <x v="0"/>
    <x v="0"/>
    <x v="112"/>
    <x v="2"/>
    <x v="144"/>
  </r>
  <r>
    <x v="2"/>
    <x v="1"/>
    <x v="113"/>
    <x v="1"/>
    <x v="145"/>
  </r>
  <r>
    <x v="0"/>
    <x v="2"/>
    <x v="114"/>
    <x v="3"/>
    <x v="146"/>
  </r>
  <r>
    <x v="0"/>
    <x v="1"/>
    <x v="115"/>
    <x v="1"/>
    <x v="147"/>
  </r>
  <r>
    <x v="0"/>
    <x v="1"/>
    <x v="116"/>
    <x v="3"/>
    <x v="148"/>
  </r>
  <r>
    <x v="1"/>
    <x v="3"/>
    <x v="6"/>
    <x v="2"/>
    <x v="149"/>
  </r>
  <r>
    <x v="2"/>
    <x v="0"/>
    <x v="117"/>
    <x v="2"/>
    <x v="150"/>
  </r>
  <r>
    <x v="3"/>
    <x v="1"/>
    <x v="118"/>
    <x v="1"/>
    <x v="151"/>
  </r>
  <r>
    <x v="1"/>
    <x v="1"/>
    <x v="33"/>
    <x v="3"/>
    <x v="152"/>
  </r>
  <r>
    <x v="2"/>
    <x v="1"/>
    <x v="119"/>
    <x v="2"/>
    <x v="153"/>
  </r>
  <r>
    <x v="3"/>
    <x v="3"/>
    <x v="4"/>
    <x v="1"/>
    <x v="154"/>
  </r>
  <r>
    <x v="1"/>
    <x v="2"/>
    <x v="39"/>
    <x v="3"/>
    <x v="110"/>
  </r>
  <r>
    <x v="3"/>
    <x v="1"/>
    <x v="62"/>
    <x v="1"/>
    <x v="155"/>
  </r>
  <r>
    <x v="0"/>
    <x v="1"/>
    <x v="120"/>
    <x v="2"/>
    <x v="156"/>
  </r>
  <r>
    <x v="2"/>
    <x v="1"/>
    <x v="121"/>
    <x v="2"/>
    <x v="157"/>
  </r>
  <r>
    <x v="1"/>
    <x v="2"/>
    <x v="122"/>
    <x v="2"/>
    <x v="32"/>
  </r>
  <r>
    <x v="2"/>
    <x v="1"/>
    <x v="123"/>
    <x v="2"/>
    <x v="158"/>
  </r>
  <r>
    <x v="2"/>
    <x v="1"/>
    <x v="124"/>
    <x v="2"/>
    <x v="159"/>
  </r>
  <r>
    <x v="2"/>
    <x v="1"/>
    <x v="125"/>
    <x v="0"/>
    <x v="160"/>
  </r>
  <r>
    <x v="2"/>
    <x v="1"/>
    <x v="126"/>
    <x v="0"/>
    <x v="161"/>
  </r>
  <r>
    <x v="1"/>
    <x v="1"/>
    <x v="37"/>
    <x v="1"/>
    <x v="162"/>
  </r>
  <r>
    <x v="2"/>
    <x v="0"/>
    <x v="127"/>
    <x v="3"/>
    <x v="163"/>
  </r>
  <r>
    <x v="2"/>
    <x v="1"/>
    <x v="128"/>
    <x v="2"/>
    <x v="164"/>
  </r>
  <r>
    <x v="0"/>
    <x v="1"/>
    <x v="129"/>
    <x v="1"/>
    <x v="165"/>
  </r>
  <r>
    <x v="3"/>
    <x v="1"/>
    <x v="130"/>
    <x v="0"/>
    <x v="166"/>
  </r>
  <r>
    <x v="3"/>
    <x v="2"/>
    <x v="131"/>
    <x v="0"/>
    <x v="167"/>
  </r>
  <r>
    <x v="1"/>
    <x v="0"/>
    <x v="37"/>
    <x v="2"/>
    <x v="168"/>
  </r>
  <r>
    <x v="3"/>
    <x v="0"/>
    <x v="6"/>
    <x v="2"/>
    <x v="169"/>
  </r>
  <r>
    <x v="1"/>
    <x v="0"/>
    <x v="4"/>
    <x v="2"/>
    <x v="170"/>
  </r>
  <r>
    <x v="4"/>
    <x v="4"/>
    <x v="132"/>
    <x v="4"/>
    <x v="17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81">
  <r>
    <x v="0"/>
    <x v="0"/>
    <x v="0"/>
    <x v="0"/>
    <x v="0"/>
    <x v="0"/>
  </r>
  <r>
    <x v="0"/>
    <x v="0"/>
    <x v="1"/>
    <x v="1"/>
    <x v="1"/>
    <x v="1"/>
  </r>
  <r>
    <x v="1"/>
    <x v="0"/>
    <x v="2"/>
    <x v="2"/>
    <x v="2"/>
    <x v="2"/>
  </r>
  <r>
    <x v="1"/>
    <x v="0"/>
    <x v="1"/>
    <x v="3"/>
    <x v="3"/>
    <x v="3"/>
  </r>
  <r>
    <x v="2"/>
    <x v="1"/>
    <x v="0"/>
    <x v="4"/>
    <x v="3"/>
    <x v="4"/>
  </r>
  <r>
    <x v="3"/>
    <x v="2"/>
    <x v="3"/>
    <x v="5"/>
    <x v="0"/>
    <x v="5"/>
  </r>
  <r>
    <x v="2"/>
    <x v="1"/>
    <x v="2"/>
    <x v="6"/>
    <x v="3"/>
    <x v="6"/>
  </r>
  <r>
    <x v="1"/>
    <x v="0"/>
    <x v="2"/>
    <x v="7"/>
    <x v="2"/>
    <x v="7"/>
  </r>
  <r>
    <x v="0"/>
    <x v="0"/>
    <x v="1"/>
    <x v="8"/>
    <x v="2"/>
    <x v="8"/>
  </r>
  <r>
    <x v="4"/>
    <x v="2"/>
    <x v="2"/>
    <x v="9"/>
    <x v="1"/>
    <x v="9"/>
  </r>
  <r>
    <x v="4"/>
    <x v="2"/>
    <x v="3"/>
    <x v="10"/>
    <x v="0"/>
    <x v="10"/>
  </r>
  <r>
    <x v="4"/>
    <x v="2"/>
    <x v="2"/>
    <x v="11"/>
    <x v="0"/>
    <x v="11"/>
  </r>
  <r>
    <x v="0"/>
    <x v="0"/>
    <x v="2"/>
    <x v="12"/>
    <x v="2"/>
    <x v="12"/>
  </r>
  <r>
    <x v="3"/>
    <x v="2"/>
    <x v="1"/>
    <x v="13"/>
    <x v="2"/>
    <x v="13"/>
  </r>
  <r>
    <x v="1"/>
    <x v="0"/>
    <x v="2"/>
    <x v="14"/>
    <x v="3"/>
    <x v="14"/>
  </r>
  <r>
    <x v="1"/>
    <x v="0"/>
    <x v="1"/>
    <x v="15"/>
    <x v="2"/>
    <x v="15"/>
  </r>
  <r>
    <x v="3"/>
    <x v="2"/>
    <x v="1"/>
    <x v="16"/>
    <x v="2"/>
    <x v="16"/>
  </r>
  <r>
    <x v="0"/>
    <x v="0"/>
    <x v="3"/>
    <x v="0"/>
    <x v="0"/>
    <x v="17"/>
  </r>
  <r>
    <x v="1"/>
    <x v="0"/>
    <x v="1"/>
    <x v="17"/>
    <x v="0"/>
    <x v="18"/>
  </r>
  <r>
    <x v="5"/>
    <x v="3"/>
    <x v="0"/>
    <x v="18"/>
    <x v="0"/>
    <x v="19"/>
  </r>
  <r>
    <x v="5"/>
    <x v="3"/>
    <x v="1"/>
    <x v="19"/>
    <x v="2"/>
    <x v="20"/>
  </r>
  <r>
    <x v="4"/>
    <x v="2"/>
    <x v="1"/>
    <x v="20"/>
    <x v="0"/>
    <x v="21"/>
  </r>
  <r>
    <x v="3"/>
    <x v="2"/>
    <x v="1"/>
    <x v="21"/>
    <x v="1"/>
    <x v="22"/>
  </r>
  <r>
    <x v="6"/>
    <x v="3"/>
    <x v="2"/>
    <x v="22"/>
    <x v="2"/>
    <x v="23"/>
  </r>
  <r>
    <x v="0"/>
    <x v="0"/>
    <x v="1"/>
    <x v="23"/>
    <x v="1"/>
    <x v="24"/>
  </r>
  <r>
    <x v="1"/>
    <x v="0"/>
    <x v="1"/>
    <x v="24"/>
    <x v="1"/>
    <x v="25"/>
  </r>
  <r>
    <x v="3"/>
    <x v="2"/>
    <x v="1"/>
    <x v="25"/>
    <x v="2"/>
    <x v="26"/>
  </r>
  <r>
    <x v="0"/>
    <x v="0"/>
    <x v="3"/>
    <x v="26"/>
    <x v="2"/>
    <x v="27"/>
  </r>
  <r>
    <x v="6"/>
    <x v="3"/>
    <x v="2"/>
    <x v="27"/>
    <x v="1"/>
    <x v="28"/>
  </r>
  <r>
    <x v="2"/>
    <x v="1"/>
    <x v="1"/>
    <x v="19"/>
    <x v="3"/>
    <x v="29"/>
  </r>
  <r>
    <x v="2"/>
    <x v="1"/>
    <x v="0"/>
    <x v="28"/>
    <x v="2"/>
    <x v="30"/>
  </r>
  <r>
    <x v="2"/>
    <x v="1"/>
    <x v="2"/>
    <x v="4"/>
    <x v="1"/>
    <x v="31"/>
  </r>
  <r>
    <x v="7"/>
    <x v="1"/>
    <x v="1"/>
    <x v="29"/>
    <x v="2"/>
    <x v="32"/>
  </r>
  <r>
    <x v="1"/>
    <x v="0"/>
    <x v="0"/>
    <x v="30"/>
    <x v="2"/>
    <x v="33"/>
  </r>
  <r>
    <x v="7"/>
    <x v="1"/>
    <x v="1"/>
    <x v="29"/>
    <x v="1"/>
    <x v="34"/>
  </r>
  <r>
    <x v="6"/>
    <x v="3"/>
    <x v="2"/>
    <x v="31"/>
    <x v="2"/>
    <x v="35"/>
  </r>
  <r>
    <x v="6"/>
    <x v="3"/>
    <x v="0"/>
    <x v="32"/>
    <x v="2"/>
    <x v="36"/>
  </r>
  <r>
    <x v="5"/>
    <x v="3"/>
    <x v="2"/>
    <x v="33"/>
    <x v="2"/>
    <x v="37"/>
  </r>
  <r>
    <x v="4"/>
    <x v="2"/>
    <x v="2"/>
    <x v="34"/>
    <x v="2"/>
    <x v="38"/>
  </r>
  <r>
    <x v="0"/>
    <x v="0"/>
    <x v="2"/>
    <x v="35"/>
    <x v="3"/>
    <x v="39"/>
  </r>
  <r>
    <x v="1"/>
    <x v="0"/>
    <x v="1"/>
    <x v="23"/>
    <x v="3"/>
    <x v="40"/>
  </r>
  <r>
    <x v="1"/>
    <x v="0"/>
    <x v="3"/>
    <x v="36"/>
    <x v="1"/>
    <x v="41"/>
  </r>
  <r>
    <x v="4"/>
    <x v="2"/>
    <x v="3"/>
    <x v="27"/>
    <x v="2"/>
    <x v="42"/>
  </r>
  <r>
    <x v="7"/>
    <x v="1"/>
    <x v="3"/>
    <x v="37"/>
    <x v="1"/>
    <x v="43"/>
  </r>
  <r>
    <x v="4"/>
    <x v="2"/>
    <x v="1"/>
    <x v="38"/>
    <x v="1"/>
    <x v="44"/>
  </r>
  <r>
    <x v="7"/>
    <x v="1"/>
    <x v="1"/>
    <x v="39"/>
    <x v="2"/>
    <x v="45"/>
  </r>
  <r>
    <x v="0"/>
    <x v="0"/>
    <x v="0"/>
    <x v="40"/>
    <x v="0"/>
    <x v="46"/>
  </r>
  <r>
    <x v="7"/>
    <x v="1"/>
    <x v="1"/>
    <x v="29"/>
    <x v="2"/>
    <x v="32"/>
  </r>
  <r>
    <x v="3"/>
    <x v="2"/>
    <x v="1"/>
    <x v="41"/>
    <x v="2"/>
    <x v="47"/>
  </r>
  <r>
    <x v="6"/>
    <x v="3"/>
    <x v="1"/>
    <x v="27"/>
    <x v="3"/>
    <x v="48"/>
  </r>
  <r>
    <x v="5"/>
    <x v="3"/>
    <x v="3"/>
    <x v="42"/>
    <x v="0"/>
    <x v="49"/>
  </r>
  <r>
    <x v="6"/>
    <x v="3"/>
    <x v="0"/>
    <x v="27"/>
    <x v="0"/>
    <x v="50"/>
  </r>
  <r>
    <x v="7"/>
    <x v="1"/>
    <x v="1"/>
    <x v="29"/>
    <x v="1"/>
    <x v="34"/>
  </r>
  <r>
    <x v="0"/>
    <x v="0"/>
    <x v="1"/>
    <x v="43"/>
    <x v="1"/>
    <x v="51"/>
  </r>
  <r>
    <x v="4"/>
    <x v="2"/>
    <x v="1"/>
    <x v="44"/>
    <x v="2"/>
    <x v="52"/>
  </r>
  <r>
    <x v="0"/>
    <x v="0"/>
    <x v="1"/>
    <x v="45"/>
    <x v="2"/>
    <x v="53"/>
  </r>
  <r>
    <x v="5"/>
    <x v="3"/>
    <x v="1"/>
    <x v="46"/>
    <x v="2"/>
    <x v="54"/>
  </r>
  <r>
    <x v="3"/>
    <x v="2"/>
    <x v="1"/>
    <x v="47"/>
    <x v="0"/>
    <x v="55"/>
  </r>
  <r>
    <x v="1"/>
    <x v="0"/>
    <x v="1"/>
    <x v="48"/>
    <x v="1"/>
    <x v="56"/>
  </r>
  <r>
    <x v="1"/>
    <x v="0"/>
    <x v="1"/>
    <x v="49"/>
    <x v="1"/>
    <x v="57"/>
  </r>
  <r>
    <x v="7"/>
    <x v="1"/>
    <x v="2"/>
    <x v="50"/>
    <x v="1"/>
    <x v="58"/>
  </r>
  <r>
    <x v="6"/>
    <x v="3"/>
    <x v="1"/>
    <x v="31"/>
    <x v="2"/>
    <x v="59"/>
  </r>
  <r>
    <x v="4"/>
    <x v="2"/>
    <x v="1"/>
    <x v="51"/>
    <x v="2"/>
    <x v="60"/>
  </r>
  <r>
    <x v="4"/>
    <x v="2"/>
    <x v="1"/>
    <x v="52"/>
    <x v="1"/>
    <x v="61"/>
  </r>
  <r>
    <x v="4"/>
    <x v="2"/>
    <x v="2"/>
    <x v="53"/>
    <x v="2"/>
    <x v="62"/>
  </r>
  <r>
    <x v="1"/>
    <x v="0"/>
    <x v="0"/>
    <x v="54"/>
    <x v="3"/>
    <x v="63"/>
  </r>
  <r>
    <x v="7"/>
    <x v="1"/>
    <x v="3"/>
    <x v="55"/>
    <x v="2"/>
    <x v="64"/>
  </r>
  <r>
    <x v="3"/>
    <x v="2"/>
    <x v="1"/>
    <x v="56"/>
    <x v="2"/>
    <x v="65"/>
  </r>
  <r>
    <x v="2"/>
    <x v="1"/>
    <x v="1"/>
    <x v="28"/>
    <x v="3"/>
    <x v="66"/>
  </r>
  <r>
    <x v="3"/>
    <x v="2"/>
    <x v="1"/>
    <x v="57"/>
    <x v="2"/>
    <x v="67"/>
  </r>
  <r>
    <x v="6"/>
    <x v="3"/>
    <x v="0"/>
    <x v="58"/>
    <x v="1"/>
    <x v="68"/>
  </r>
  <r>
    <x v="4"/>
    <x v="2"/>
    <x v="3"/>
    <x v="59"/>
    <x v="2"/>
    <x v="69"/>
  </r>
  <r>
    <x v="5"/>
    <x v="3"/>
    <x v="1"/>
    <x v="33"/>
    <x v="2"/>
    <x v="70"/>
  </r>
  <r>
    <x v="7"/>
    <x v="1"/>
    <x v="1"/>
    <x v="39"/>
    <x v="2"/>
    <x v="45"/>
  </r>
  <r>
    <x v="7"/>
    <x v="1"/>
    <x v="1"/>
    <x v="37"/>
    <x v="0"/>
    <x v="71"/>
  </r>
  <r>
    <x v="4"/>
    <x v="2"/>
    <x v="2"/>
    <x v="60"/>
    <x v="2"/>
    <x v="72"/>
  </r>
  <r>
    <x v="6"/>
    <x v="3"/>
    <x v="1"/>
    <x v="61"/>
    <x v="2"/>
    <x v="73"/>
  </r>
  <r>
    <x v="7"/>
    <x v="1"/>
    <x v="2"/>
    <x v="37"/>
    <x v="1"/>
    <x v="74"/>
  </r>
  <r>
    <x v="6"/>
    <x v="3"/>
    <x v="1"/>
    <x v="62"/>
    <x v="3"/>
    <x v="75"/>
  </r>
  <r>
    <x v="1"/>
    <x v="0"/>
    <x v="3"/>
    <x v="63"/>
    <x v="2"/>
    <x v="76"/>
  </r>
  <r>
    <x v="4"/>
    <x v="2"/>
    <x v="0"/>
    <x v="64"/>
    <x v="2"/>
    <x v="77"/>
  </r>
  <r>
    <x v="6"/>
    <x v="3"/>
    <x v="3"/>
    <x v="65"/>
    <x v="2"/>
    <x v="78"/>
  </r>
  <r>
    <x v="0"/>
    <x v="0"/>
    <x v="0"/>
    <x v="66"/>
    <x v="2"/>
    <x v="79"/>
  </r>
  <r>
    <x v="7"/>
    <x v="1"/>
    <x v="2"/>
    <x v="55"/>
    <x v="2"/>
    <x v="80"/>
  </r>
  <r>
    <x v="2"/>
    <x v="1"/>
    <x v="2"/>
    <x v="67"/>
    <x v="1"/>
    <x v="81"/>
  </r>
  <r>
    <x v="6"/>
    <x v="3"/>
    <x v="1"/>
    <x v="68"/>
    <x v="1"/>
    <x v="82"/>
  </r>
  <r>
    <x v="2"/>
    <x v="1"/>
    <x v="3"/>
    <x v="69"/>
    <x v="0"/>
    <x v="83"/>
  </r>
  <r>
    <x v="7"/>
    <x v="1"/>
    <x v="2"/>
    <x v="55"/>
    <x v="2"/>
    <x v="80"/>
  </r>
  <r>
    <x v="4"/>
    <x v="2"/>
    <x v="3"/>
    <x v="70"/>
    <x v="1"/>
    <x v="84"/>
  </r>
  <r>
    <x v="4"/>
    <x v="2"/>
    <x v="1"/>
    <x v="71"/>
    <x v="2"/>
    <x v="85"/>
  </r>
  <r>
    <x v="1"/>
    <x v="0"/>
    <x v="2"/>
    <x v="72"/>
    <x v="2"/>
    <x v="86"/>
  </r>
  <r>
    <x v="7"/>
    <x v="1"/>
    <x v="2"/>
    <x v="29"/>
    <x v="2"/>
    <x v="87"/>
  </r>
  <r>
    <x v="1"/>
    <x v="0"/>
    <x v="1"/>
    <x v="73"/>
    <x v="2"/>
    <x v="88"/>
  </r>
  <r>
    <x v="7"/>
    <x v="1"/>
    <x v="2"/>
    <x v="50"/>
    <x v="3"/>
    <x v="89"/>
  </r>
  <r>
    <x v="5"/>
    <x v="3"/>
    <x v="0"/>
    <x v="19"/>
    <x v="0"/>
    <x v="90"/>
  </r>
  <r>
    <x v="5"/>
    <x v="3"/>
    <x v="1"/>
    <x v="69"/>
    <x v="2"/>
    <x v="91"/>
  </r>
  <r>
    <x v="0"/>
    <x v="0"/>
    <x v="2"/>
    <x v="74"/>
    <x v="2"/>
    <x v="92"/>
  </r>
  <r>
    <x v="0"/>
    <x v="0"/>
    <x v="1"/>
    <x v="75"/>
    <x v="0"/>
    <x v="93"/>
  </r>
  <r>
    <x v="0"/>
    <x v="0"/>
    <x v="2"/>
    <x v="76"/>
    <x v="2"/>
    <x v="94"/>
  </r>
  <r>
    <x v="6"/>
    <x v="3"/>
    <x v="1"/>
    <x v="77"/>
    <x v="2"/>
    <x v="95"/>
  </r>
  <r>
    <x v="3"/>
    <x v="2"/>
    <x v="1"/>
    <x v="78"/>
    <x v="2"/>
    <x v="96"/>
  </r>
  <r>
    <x v="6"/>
    <x v="3"/>
    <x v="1"/>
    <x v="38"/>
    <x v="2"/>
    <x v="97"/>
  </r>
  <r>
    <x v="0"/>
    <x v="0"/>
    <x v="1"/>
    <x v="79"/>
    <x v="0"/>
    <x v="98"/>
  </r>
  <r>
    <x v="5"/>
    <x v="3"/>
    <x v="1"/>
    <x v="80"/>
    <x v="1"/>
    <x v="99"/>
  </r>
  <r>
    <x v="2"/>
    <x v="1"/>
    <x v="2"/>
    <x v="46"/>
    <x v="2"/>
    <x v="100"/>
  </r>
  <r>
    <x v="6"/>
    <x v="3"/>
    <x v="2"/>
    <x v="81"/>
    <x v="2"/>
    <x v="101"/>
  </r>
  <r>
    <x v="5"/>
    <x v="3"/>
    <x v="1"/>
    <x v="6"/>
    <x v="1"/>
    <x v="102"/>
  </r>
  <r>
    <x v="6"/>
    <x v="3"/>
    <x v="1"/>
    <x v="82"/>
    <x v="0"/>
    <x v="103"/>
  </r>
  <r>
    <x v="0"/>
    <x v="0"/>
    <x v="1"/>
    <x v="83"/>
    <x v="2"/>
    <x v="104"/>
  </r>
  <r>
    <x v="0"/>
    <x v="0"/>
    <x v="2"/>
    <x v="84"/>
    <x v="2"/>
    <x v="105"/>
  </r>
  <r>
    <x v="3"/>
    <x v="2"/>
    <x v="1"/>
    <x v="85"/>
    <x v="1"/>
    <x v="106"/>
  </r>
  <r>
    <x v="3"/>
    <x v="2"/>
    <x v="2"/>
    <x v="86"/>
    <x v="0"/>
    <x v="107"/>
  </r>
  <r>
    <x v="1"/>
    <x v="0"/>
    <x v="1"/>
    <x v="87"/>
    <x v="2"/>
    <x v="108"/>
  </r>
  <r>
    <x v="6"/>
    <x v="3"/>
    <x v="2"/>
    <x v="88"/>
    <x v="2"/>
    <x v="109"/>
  </r>
  <r>
    <x v="7"/>
    <x v="1"/>
    <x v="1"/>
    <x v="37"/>
    <x v="3"/>
    <x v="110"/>
  </r>
  <r>
    <x v="1"/>
    <x v="0"/>
    <x v="1"/>
    <x v="89"/>
    <x v="3"/>
    <x v="111"/>
  </r>
  <r>
    <x v="2"/>
    <x v="1"/>
    <x v="1"/>
    <x v="6"/>
    <x v="3"/>
    <x v="112"/>
  </r>
  <r>
    <x v="7"/>
    <x v="1"/>
    <x v="1"/>
    <x v="37"/>
    <x v="2"/>
    <x v="113"/>
  </r>
  <r>
    <x v="4"/>
    <x v="2"/>
    <x v="2"/>
    <x v="90"/>
    <x v="2"/>
    <x v="114"/>
  </r>
  <r>
    <x v="7"/>
    <x v="1"/>
    <x v="2"/>
    <x v="37"/>
    <x v="2"/>
    <x v="115"/>
  </r>
  <r>
    <x v="7"/>
    <x v="1"/>
    <x v="1"/>
    <x v="37"/>
    <x v="2"/>
    <x v="113"/>
  </r>
  <r>
    <x v="3"/>
    <x v="2"/>
    <x v="2"/>
    <x v="91"/>
    <x v="2"/>
    <x v="116"/>
  </r>
  <r>
    <x v="0"/>
    <x v="0"/>
    <x v="1"/>
    <x v="92"/>
    <x v="2"/>
    <x v="117"/>
  </r>
  <r>
    <x v="3"/>
    <x v="2"/>
    <x v="0"/>
    <x v="93"/>
    <x v="2"/>
    <x v="118"/>
  </r>
  <r>
    <x v="7"/>
    <x v="1"/>
    <x v="3"/>
    <x v="37"/>
    <x v="2"/>
    <x v="119"/>
  </r>
  <r>
    <x v="0"/>
    <x v="0"/>
    <x v="0"/>
    <x v="94"/>
    <x v="0"/>
    <x v="120"/>
  </r>
  <r>
    <x v="7"/>
    <x v="1"/>
    <x v="2"/>
    <x v="39"/>
    <x v="0"/>
    <x v="71"/>
  </r>
  <r>
    <x v="0"/>
    <x v="0"/>
    <x v="2"/>
    <x v="95"/>
    <x v="2"/>
    <x v="121"/>
  </r>
  <r>
    <x v="4"/>
    <x v="2"/>
    <x v="1"/>
    <x v="96"/>
    <x v="1"/>
    <x v="122"/>
  </r>
  <r>
    <x v="2"/>
    <x v="1"/>
    <x v="3"/>
    <x v="97"/>
    <x v="2"/>
    <x v="123"/>
  </r>
  <r>
    <x v="5"/>
    <x v="3"/>
    <x v="0"/>
    <x v="18"/>
    <x v="3"/>
    <x v="124"/>
  </r>
  <r>
    <x v="0"/>
    <x v="0"/>
    <x v="2"/>
    <x v="98"/>
    <x v="3"/>
    <x v="125"/>
  </r>
  <r>
    <x v="7"/>
    <x v="1"/>
    <x v="0"/>
    <x v="55"/>
    <x v="3"/>
    <x v="126"/>
  </r>
  <r>
    <x v="5"/>
    <x v="3"/>
    <x v="2"/>
    <x v="99"/>
    <x v="2"/>
    <x v="127"/>
  </r>
  <r>
    <x v="6"/>
    <x v="3"/>
    <x v="1"/>
    <x v="100"/>
    <x v="1"/>
    <x v="128"/>
  </r>
  <r>
    <x v="2"/>
    <x v="1"/>
    <x v="1"/>
    <x v="67"/>
    <x v="2"/>
    <x v="129"/>
  </r>
  <r>
    <x v="4"/>
    <x v="2"/>
    <x v="1"/>
    <x v="101"/>
    <x v="2"/>
    <x v="130"/>
  </r>
  <r>
    <x v="3"/>
    <x v="2"/>
    <x v="0"/>
    <x v="102"/>
    <x v="2"/>
    <x v="131"/>
  </r>
  <r>
    <x v="5"/>
    <x v="3"/>
    <x v="1"/>
    <x v="80"/>
    <x v="2"/>
    <x v="132"/>
  </r>
  <r>
    <x v="3"/>
    <x v="2"/>
    <x v="1"/>
    <x v="103"/>
    <x v="1"/>
    <x v="133"/>
  </r>
  <r>
    <x v="1"/>
    <x v="0"/>
    <x v="0"/>
    <x v="104"/>
    <x v="2"/>
    <x v="134"/>
  </r>
  <r>
    <x v="6"/>
    <x v="3"/>
    <x v="1"/>
    <x v="105"/>
    <x v="1"/>
    <x v="135"/>
  </r>
  <r>
    <x v="0"/>
    <x v="0"/>
    <x v="1"/>
    <x v="106"/>
    <x v="2"/>
    <x v="136"/>
  </r>
  <r>
    <x v="4"/>
    <x v="2"/>
    <x v="2"/>
    <x v="11"/>
    <x v="2"/>
    <x v="137"/>
  </r>
  <r>
    <x v="3"/>
    <x v="2"/>
    <x v="2"/>
    <x v="107"/>
    <x v="2"/>
    <x v="138"/>
  </r>
  <r>
    <x v="4"/>
    <x v="2"/>
    <x v="2"/>
    <x v="108"/>
    <x v="2"/>
    <x v="139"/>
  </r>
  <r>
    <x v="5"/>
    <x v="3"/>
    <x v="1"/>
    <x v="109"/>
    <x v="1"/>
    <x v="140"/>
  </r>
  <r>
    <x v="7"/>
    <x v="1"/>
    <x v="2"/>
    <x v="29"/>
    <x v="0"/>
    <x v="141"/>
  </r>
  <r>
    <x v="6"/>
    <x v="3"/>
    <x v="1"/>
    <x v="110"/>
    <x v="2"/>
    <x v="142"/>
  </r>
  <r>
    <x v="4"/>
    <x v="2"/>
    <x v="2"/>
    <x v="111"/>
    <x v="2"/>
    <x v="143"/>
  </r>
  <r>
    <x v="5"/>
    <x v="3"/>
    <x v="2"/>
    <x v="46"/>
    <x v="2"/>
    <x v="100"/>
  </r>
  <r>
    <x v="1"/>
    <x v="0"/>
    <x v="0"/>
    <x v="112"/>
    <x v="2"/>
    <x v="144"/>
  </r>
  <r>
    <x v="3"/>
    <x v="2"/>
    <x v="1"/>
    <x v="113"/>
    <x v="1"/>
    <x v="145"/>
  </r>
  <r>
    <x v="1"/>
    <x v="0"/>
    <x v="2"/>
    <x v="114"/>
    <x v="3"/>
    <x v="146"/>
  </r>
  <r>
    <x v="0"/>
    <x v="0"/>
    <x v="1"/>
    <x v="115"/>
    <x v="1"/>
    <x v="147"/>
  </r>
  <r>
    <x v="0"/>
    <x v="0"/>
    <x v="1"/>
    <x v="116"/>
    <x v="3"/>
    <x v="148"/>
  </r>
  <r>
    <x v="2"/>
    <x v="1"/>
    <x v="3"/>
    <x v="6"/>
    <x v="2"/>
    <x v="149"/>
  </r>
  <r>
    <x v="3"/>
    <x v="2"/>
    <x v="0"/>
    <x v="117"/>
    <x v="2"/>
    <x v="150"/>
  </r>
  <r>
    <x v="5"/>
    <x v="3"/>
    <x v="1"/>
    <x v="118"/>
    <x v="1"/>
    <x v="151"/>
  </r>
  <r>
    <x v="2"/>
    <x v="1"/>
    <x v="1"/>
    <x v="33"/>
    <x v="3"/>
    <x v="152"/>
  </r>
  <r>
    <x v="3"/>
    <x v="2"/>
    <x v="1"/>
    <x v="119"/>
    <x v="2"/>
    <x v="153"/>
  </r>
  <r>
    <x v="5"/>
    <x v="3"/>
    <x v="3"/>
    <x v="4"/>
    <x v="1"/>
    <x v="154"/>
  </r>
  <r>
    <x v="7"/>
    <x v="1"/>
    <x v="2"/>
    <x v="39"/>
    <x v="3"/>
    <x v="110"/>
  </r>
  <r>
    <x v="6"/>
    <x v="3"/>
    <x v="1"/>
    <x v="62"/>
    <x v="1"/>
    <x v="155"/>
  </r>
  <r>
    <x v="1"/>
    <x v="0"/>
    <x v="1"/>
    <x v="120"/>
    <x v="2"/>
    <x v="156"/>
  </r>
  <r>
    <x v="3"/>
    <x v="2"/>
    <x v="1"/>
    <x v="121"/>
    <x v="2"/>
    <x v="157"/>
  </r>
  <r>
    <x v="7"/>
    <x v="1"/>
    <x v="2"/>
    <x v="122"/>
    <x v="2"/>
    <x v="32"/>
  </r>
  <r>
    <x v="4"/>
    <x v="2"/>
    <x v="1"/>
    <x v="123"/>
    <x v="2"/>
    <x v="158"/>
  </r>
  <r>
    <x v="4"/>
    <x v="2"/>
    <x v="1"/>
    <x v="124"/>
    <x v="2"/>
    <x v="159"/>
  </r>
  <r>
    <x v="4"/>
    <x v="2"/>
    <x v="1"/>
    <x v="125"/>
    <x v="0"/>
    <x v="160"/>
  </r>
  <r>
    <x v="4"/>
    <x v="2"/>
    <x v="1"/>
    <x v="126"/>
    <x v="0"/>
    <x v="161"/>
  </r>
  <r>
    <x v="2"/>
    <x v="1"/>
    <x v="1"/>
    <x v="37"/>
    <x v="1"/>
    <x v="162"/>
  </r>
  <r>
    <x v="4"/>
    <x v="2"/>
    <x v="0"/>
    <x v="127"/>
    <x v="3"/>
    <x v="163"/>
  </r>
  <r>
    <x v="4"/>
    <x v="2"/>
    <x v="1"/>
    <x v="128"/>
    <x v="2"/>
    <x v="164"/>
  </r>
  <r>
    <x v="0"/>
    <x v="0"/>
    <x v="1"/>
    <x v="129"/>
    <x v="1"/>
    <x v="165"/>
  </r>
  <r>
    <x v="6"/>
    <x v="3"/>
    <x v="1"/>
    <x v="130"/>
    <x v="0"/>
    <x v="166"/>
  </r>
  <r>
    <x v="6"/>
    <x v="3"/>
    <x v="2"/>
    <x v="131"/>
    <x v="0"/>
    <x v="167"/>
  </r>
  <r>
    <x v="2"/>
    <x v="1"/>
    <x v="0"/>
    <x v="37"/>
    <x v="2"/>
    <x v="168"/>
  </r>
  <r>
    <x v="5"/>
    <x v="3"/>
    <x v="0"/>
    <x v="6"/>
    <x v="2"/>
    <x v="169"/>
  </r>
  <r>
    <x v="2"/>
    <x v="1"/>
    <x v="0"/>
    <x v="4"/>
    <x v="2"/>
    <x v="170"/>
  </r>
  <r>
    <x v="8"/>
    <x v="4"/>
    <x v="4"/>
    <x v="132"/>
    <x v="4"/>
    <x v="17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181">
  <r>
    <x v="0"/>
    <x v="0"/>
    <x v="0"/>
    <x v="0"/>
    <x v="0"/>
    <x v="0"/>
    <x v="0"/>
  </r>
  <r>
    <x v="1"/>
    <x v="0"/>
    <x v="0"/>
    <x v="1"/>
    <x v="1"/>
    <x v="1"/>
    <x v="1"/>
  </r>
  <r>
    <x v="1"/>
    <x v="1"/>
    <x v="0"/>
    <x v="2"/>
    <x v="2"/>
    <x v="2"/>
    <x v="2"/>
  </r>
  <r>
    <x v="0"/>
    <x v="1"/>
    <x v="0"/>
    <x v="1"/>
    <x v="3"/>
    <x v="3"/>
    <x v="3"/>
  </r>
  <r>
    <x v="0"/>
    <x v="2"/>
    <x v="1"/>
    <x v="0"/>
    <x v="4"/>
    <x v="3"/>
    <x v="4"/>
  </r>
  <r>
    <x v="1"/>
    <x v="3"/>
    <x v="2"/>
    <x v="3"/>
    <x v="5"/>
    <x v="0"/>
    <x v="5"/>
  </r>
  <r>
    <x v="1"/>
    <x v="2"/>
    <x v="1"/>
    <x v="2"/>
    <x v="6"/>
    <x v="3"/>
    <x v="6"/>
  </r>
  <r>
    <x v="0"/>
    <x v="1"/>
    <x v="0"/>
    <x v="2"/>
    <x v="7"/>
    <x v="2"/>
    <x v="7"/>
  </r>
  <r>
    <x v="1"/>
    <x v="0"/>
    <x v="0"/>
    <x v="1"/>
    <x v="8"/>
    <x v="2"/>
    <x v="8"/>
  </r>
  <r>
    <x v="1"/>
    <x v="4"/>
    <x v="2"/>
    <x v="2"/>
    <x v="9"/>
    <x v="1"/>
    <x v="9"/>
  </r>
  <r>
    <x v="0"/>
    <x v="4"/>
    <x v="2"/>
    <x v="3"/>
    <x v="10"/>
    <x v="0"/>
    <x v="10"/>
  </r>
  <r>
    <x v="0"/>
    <x v="4"/>
    <x v="2"/>
    <x v="2"/>
    <x v="11"/>
    <x v="0"/>
    <x v="11"/>
  </r>
  <r>
    <x v="0"/>
    <x v="0"/>
    <x v="0"/>
    <x v="2"/>
    <x v="12"/>
    <x v="2"/>
    <x v="12"/>
  </r>
  <r>
    <x v="1"/>
    <x v="3"/>
    <x v="2"/>
    <x v="1"/>
    <x v="13"/>
    <x v="2"/>
    <x v="13"/>
  </r>
  <r>
    <x v="1"/>
    <x v="1"/>
    <x v="0"/>
    <x v="2"/>
    <x v="14"/>
    <x v="3"/>
    <x v="14"/>
  </r>
  <r>
    <x v="1"/>
    <x v="1"/>
    <x v="0"/>
    <x v="1"/>
    <x v="15"/>
    <x v="2"/>
    <x v="15"/>
  </r>
  <r>
    <x v="1"/>
    <x v="3"/>
    <x v="2"/>
    <x v="1"/>
    <x v="16"/>
    <x v="2"/>
    <x v="16"/>
  </r>
  <r>
    <x v="0"/>
    <x v="0"/>
    <x v="0"/>
    <x v="3"/>
    <x v="0"/>
    <x v="0"/>
    <x v="17"/>
  </r>
  <r>
    <x v="0"/>
    <x v="1"/>
    <x v="0"/>
    <x v="1"/>
    <x v="17"/>
    <x v="0"/>
    <x v="18"/>
  </r>
  <r>
    <x v="0"/>
    <x v="5"/>
    <x v="3"/>
    <x v="0"/>
    <x v="18"/>
    <x v="0"/>
    <x v="19"/>
  </r>
  <r>
    <x v="0"/>
    <x v="5"/>
    <x v="3"/>
    <x v="1"/>
    <x v="19"/>
    <x v="2"/>
    <x v="20"/>
  </r>
  <r>
    <x v="1"/>
    <x v="4"/>
    <x v="2"/>
    <x v="1"/>
    <x v="20"/>
    <x v="0"/>
    <x v="21"/>
  </r>
  <r>
    <x v="0"/>
    <x v="3"/>
    <x v="2"/>
    <x v="1"/>
    <x v="21"/>
    <x v="1"/>
    <x v="22"/>
  </r>
  <r>
    <x v="1"/>
    <x v="6"/>
    <x v="3"/>
    <x v="2"/>
    <x v="22"/>
    <x v="2"/>
    <x v="23"/>
  </r>
  <r>
    <x v="1"/>
    <x v="0"/>
    <x v="0"/>
    <x v="1"/>
    <x v="23"/>
    <x v="1"/>
    <x v="24"/>
  </r>
  <r>
    <x v="0"/>
    <x v="1"/>
    <x v="0"/>
    <x v="1"/>
    <x v="24"/>
    <x v="1"/>
    <x v="25"/>
  </r>
  <r>
    <x v="1"/>
    <x v="3"/>
    <x v="2"/>
    <x v="1"/>
    <x v="25"/>
    <x v="2"/>
    <x v="26"/>
  </r>
  <r>
    <x v="1"/>
    <x v="0"/>
    <x v="0"/>
    <x v="3"/>
    <x v="26"/>
    <x v="2"/>
    <x v="27"/>
  </r>
  <r>
    <x v="1"/>
    <x v="6"/>
    <x v="3"/>
    <x v="2"/>
    <x v="27"/>
    <x v="1"/>
    <x v="28"/>
  </r>
  <r>
    <x v="1"/>
    <x v="2"/>
    <x v="1"/>
    <x v="1"/>
    <x v="19"/>
    <x v="3"/>
    <x v="29"/>
  </r>
  <r>
    <x v="1"/>
    <x v="2"/>
    <x v="1"/>
    <x v="0"/>
    <x v="28"/>
    <x v="2"/>
    <x v="30"/>
  </r>
  <r>
    <x v="1"/>
    <x v="2"/>
    <x v="1"/>
    <x v="2"/>
    <x v="4"/>
    <x v="1"/>
    <x v="31"/>
  </r>
  <r>
    <x v="0"/>
    <x v="7"/>
    <x v="1"/>
    <x v="1"/>
    <x v="29"/>
    <x v="2"/>
    <x v="32"/>
  </r>
  <r>
    <x v="1"/>
    <x v="1"/>
    <x v="0"/>
    <x v="0"/>
    <x v="30"/>
    <x v="2"/>
    <x v="33"/>
  </r>
  <r>
    <x v="1"/>
    <x v="7"/>
    <x v="1"/>
    <x v="1"/>
    <x v="29"/>
    <x v="1"/>
    <x v="34"/>
  </r>
  <r>
    <x v="0"/>
    <x v="6"/>
    <x v="3"/>
    <x v="2"/>
    <x v="31"/>
    <x v="2"/>
    <x v="35"/>
  </r>
  <r>
    <x v="0"/>
    <x v="6"/>
    <x v="3"/>
    <x v="0"/>
    <x v="32"/>
    <x v="2"/>
    <x v="36"/>
  </r>
  <r>
    <x v="1"/>
    <x v="5"/>
    <x v="3"/>
    <x v="2"/>
    <x v="33"/>
    <x v="2"/>
    <x v="37"/>
  </r>
  <r>
    <x v="0"/>
    <x v="4"/>
    <x v="2"/>
    <x v="2"/>
    <x v="34"/>
    <x v="2"/>
    <x v="38"/>
  </r>
  <r>
    <x v="1"/>
    <x v="0"/>
    <x v="0"/>
    <x v="2"/>
    <x v="35"/>
    <x v="3"/>
    <x v="39"/>
  </r>
  <r>
    <x v="1"/>
    <x v="1"/>
    <x v="0"/>
    <x v="1"/>
    <x v="23"/>
    <x v="3"/>
    <x v="40"/>
  </r>
  <r>
    <x v="1"/>
    <x v="1"/>
    <x v="0"/>
    <x v="3"/>
    <x v="36"/>
    <x v="1"/>
    <x v="41"/>
  </r>
  <r>
    <x v="1"/>
    <x v="4"/>
    <x v="2"/>
    <x v="3"/>
    <x v="27"/>
    <x v="2"/>
    <x v="42"/>
  </r>
  <r>
    <x v="1"/>
    <x v="7"/>
    <x v="1"/>
    <x v="3"/>
    <x v="37"/>
    <x v="1"/>
    <x v="43"/>
  </r>
  <r>
    <x v="0"/>
    <x v="4"/>
    <x v="2"/>
    <x v="1"/>
    <x v="38"/>
    <x v="1"/>
    <x v="44"/>
  </r>
  <r>
    <x v="1"/>
    <x v="7"/>
    <x v="1"/>
    <x v="1"/>
    <x v="39"/>
    <x v="2"/>
    <x v="45"/>
  </r>
  <r>
    <x v="1"/>
    <x v="0"/>
    <x v="0"/>
    <x v="0"/>
    <x v="40"/>
    <x v="0"/>
    <x v="46"/>
  </r>
  <r>
    <x v="1"/>
    <x v="7"/>
    <x v="1"/>
    <x v="1"/>
    <x v="29"/>
    <x v="2"/>
    <x v="32"/>
  </r>
  <r>
    <x v="0"/>
    <x v="3"/>
    <x v="2"/>
    <x v="1"/>
    <x v="41"/>
    <x v="2"/>
    <x v="47"/>
  </r>
  <r>
    <x v="1"/>
    <x v="6"/>
    <x v="3"/>
    <x v="1"/>
    <x v="27"/>
    <x v="3"/>
    <x v="48"/>
  </r>
  <r>
    <x v="1"/>
    <x v="5"/>
    <x v="3"/>
    <x v="3"/>
    <x v="42"/>
    <x v="0"/>
    <x v="49"/>
  </r>
  <r>
    <x v="1"/>
    <x v="6"/>
    <x v="3"/>
    <x v="0"/>
    <x v="27"/>
    <x v="0"/>
    <x v="50"/>
  </r>
  <r>
    <x v="0"/>
    <x v="7"/>
    <x v="1"/>
    <x v="1"/>
    <x v="29"/>
    <x v="1"/>
    <x v="34"/>
  </r>
  <r>
    <x v="1"/>
    <x v="0"/>
    <x v="0"/>
    <x v="1"/>
    <x v="43"/>
    <x v="1"/>
    <x v="51"/>
  </r>
  <r>
    <x v="1"/>
    <x v="4"/>
    <x v="2"/>
    <x v="1"/>
    <x v="44"/>
    <x v="2"/>
    <x v="52"/>
  </r>
  <r>
    <x v="1"/>
    <x v="0"/>
    <x v="0"/>
    <x v="1"/>
    <x v="45"/>
    <x v="2"/>
    <x v="53"/>
  </r>
  <r>
    <x v="1"/>
    <x v="5"/>
    <x v="3"/>
    <x v="1"/>
    <x v="46"/>
    <x v="2"/>
    <x v="54"/>
  </r>
  <r>
    <x v="1"/>
    <x v="3"/>
    <x v="2"/>
    <x v="1"/>
    <x v="47"/>
    <x v="0"/>
    <x v="55"/>
  </r>
  <r>
    <x v="1"/>
    <x v="1"/>
    <x v="0"/>
    <x v="1"/>
    <x v="48"/>
    <x v="1"/>
    <x v="56"/>
  </r>
  <r>
    <x v="1"/>
    <x v="1"/>
    <x v="0"/>
    <x v="1"/>
    <x v="49"/>
    <x v="1"/>
    <x v="57"/>
  </r>
  <r>
    <x v="0"/>
    <x v="7"/>
    <x v="1"/>
    <x v="2"/>
    <x v="50"/>
    <x v="1"/>
    <x v="58"/>
  </r>
  <r>
    <x v="0"/>
    <x v="6"/>
    <x v="3"/>
    <x v="1"/>
    <x v="31"/>
    <x v="2"/>
    <x v="59"/>
  </r>
  <r>
    <x v="0"/>
    <x v="4"/>
    <x v="2"/>
    <x v="1"/>
    <x v="51"/>
    <x v="2"/>
    <x v="60"/>
  </r>
  <r>
    <x v="1"/>
    <x v="4"/>
    <x v="2"/>
    <x v="1"/>
    <x v="52"/>
    <x v="1"/>
    <x v="61"/>
  </r>
  <r>
    <x v="0"/>
    <x v="4"/>
    <x v="2"/>
    <x v="2"/>
    <x v="53"/>
    <x v="2"/>
    <x v="62"/>
  </r>
  <r>
    <x v="0"/>
    <x v="1"/>
    <x v="0"/>
    <x v="0"/>
    <x v="54"/>
    <x v="3"/>
    <x v="63"/>
  </r>
  <r>
    <x v="0"/>
    <x v="7"/>
    <x v="1"/>
    <x v="3"/>
    <x v="55"/>
    <x v="2"/>
    <x v="64"/>
  </r>
  <r>
    <x v="0"/>
    <x v="3"/>
    <x v="2"/>
    <x v="1"/>
    <x v="56"/>
    <x v="2"/>
    <x v="65"/>
  </r>
  <r>
    <x v="1"/>
    <x v="2"/>
    <x v="1"/>
    <x v="1"/>
    <x v="28"/>
    <x v="3"/>
    <x v="66"/>
  </r>
  <r>
    <x v="0"/>
    <x v="3"/>
    <x v="2"/>
    <x v="1"/>
    <x v="57"/>
    <x v="2"/>
    <x v="67"/>
  </r>
  <r>
    <x v="0"/>
    <x v="6"/>
    <x v="3"/>
    <x v="0"/>
    <x v="58"/>
    <x v="1"/>
    <x v="68"/>
  </r>
  <r>
    <x v="1"/>
    <x v="4"/>
    <x v="2"/>
    <x v="3"/>
    <x v="59"/>
    <x v="2"/>
    <x v="69"/>
  </r>
  <r>
    <x v="1"/>
    <x v="5"/>
    <x v="3"/>
    <x v="1"/>
    <x v="33"/>
    <x v="2"/>
    <x v="70"/>
  </r>
  <r>
    <x v="0"/>
    <x v="7"/>
    <x v="1"/>
    <x v="1"/>
    <x v="39"/>
    <x v="2"/>
    <x v="45"/>
  </r>
  <r>
    <x v="0"/>
    <x v="7"/>
    <x v="1"/>
    <x v="1"/>
    <x v="37"/>
    <x v="0"/>
    <x v="71"/>
  </r>
  <r>
    <x v="1"/>
    <x v="4"/>
    <x v="2"/>
    <x v="2"/>
    <x v="60"/>
    <x v="2"/>
    <x v="72"/>
  </r>
  <r>
    <x v="0"/>
    <x v="6"/>
    <x v="3"/>
    <x v="1"/>
    <x v="61"/>
    <x v="2"/>
    <x v="73"/>
  </r>
  <r>
    <x v="0"/>
    <x v="7"/>
    <x v="1"/>
    <x v="2"/>
    <x v="37"/>
    <x v="1"/>
    <x v="74"/>
  </r>
  <r>
    <x v="1"/>
    <x v="6"/>
    <x v="3"/>
    <x v="1"/>
    <x v="62"/>
    <x v="3"/>
    <x v="75"/>
  </r>
  <r>
    <x v="0"/>
    <x v="1"/>
    <x v="0"/>
    <x v="3"/>
    <x v="63"/>
    <x v="2"/>
    <x v="76"/>
  </r>
  <r>
    <x v="1"/>
    <x v="4"/>
    <x v="2"/>
    <x v="0"/>
    <x v="64"/>
    <x v="2"/>
    <x v="77"/>
  </r>
  <r>
    <x v="0"/>
    <x v="6"/>
    <x v="3"/>
    <x v="3"/>
    <x v="65"/>
    <x v="2"/>
    <x v="78"/>
  </r>
  <r>
    <x v="1"/>
    <x v="0"/>
    <x v="0"/>
    <x v="0"/>
    <x v="66"/>
    <x v="2"/>
    <x v="79"/>
  </r>
  <r>
    <x v="1"/>
    <x v="7"/>
    <x v="1"/>
    <x v="2"/>
    <x v="55"/>
    <x v="2"/>
    <x v="80"/>
  </r>
  <r>
    <x v="1"/>
    <x v="2"/>
    <x v="1"/>
    <x v="2"/>
    <x v="67"/>
    <x v="1"/>
    <x v="81"/>
  </r>
  <r>
    <x v="1"/>
    <x v="6"/>
    <x v="3"/>
    <x v="1"/>
    <x v="68"/>
    <x v="1"/>
    <x v="82"/>
  </r>
  <r>
    <x v="0"/>
    <x v="2"/>
    <x v="1"/>
    <x v="3"/>
    <x v="69"/>
    <x v="0"/>
    <x v="83"/>
  </r>
  <r>
    <x v="1"/>
    <x v="7"/>
    <x v="1"/>
    <x v="2"/>
    <x v="55"/>
    <x v="2"/>
    <x v="80"/>
  </r>
  <r>
    <x v="0"/>
    <x v="4"/>
    <x v="2"/>
    <x v="3"/>
    <x v="70"/>
    <x v="1"/>
    <x v="84"/>
  </r>
  <r>
    <x v="0"/>
    <x v="4"/>
    <x v="2"/>
    <x v="1"/>
    <x v="71"/>
    <x v="2"/>
    <x v="85"/>
  </r>
  <r>
    <x v="1"/>
    <x v="1"/>
    <x v="0"/>
    <x v="2"/>
    <x v="72"/>
    <x v="2"/>
    <x v="86"/>
  </r>
  <r>
    <x v="0"/>
    <x v="7"/>
    <x v="1"/>
    <x v="2"/>
    <x v="29"/>
    <x v="2"/>
    <x v="87"/>
  </r>
  <r>
    <x v="1"/>
    <x v="1"/>
    <x v="0"/>
    <x v="1"/>
    <x v="73"/>
    <x v="2"/>
    <x v="88"/>
  </r>
  <r>
    <x v="1"/>
    <x v="7"/>
    <x v="1"/>
    <x v="2"/>
    <x v="50"/>
    <x v="3"/>
    <x v="89"/>
  </r>
  <r>
    <x v="1"/>
    <x v="5"/>
    <x v="3"/>
    <x v="0"/>
    <x v="19"/>
    <x v="0"/>
    <x v="90"/>
  </r>
  <r>
    <x v="1"/>
    <x v="5"/>
    <x v="3"/>
    <x v="1"/>
    <x v="69"/>
    <x v="2"/>
    <x v="91"/>
  </r>
  <r>
    <x v="1"/>
    <x v="0"/>
    <x v="0"/>
    <x v="2"/>
    <x v="74"/>
    <x v="2"/>
    <x v="92"/>
  </r>
  <r>
    <x v="1"/>
    <x v="0"/>
    <x v="0"/>
    <x v="1"/>
    <x v="75"/>
    <x v="0"/>
    <x v="93"/>
  </r>
  <r>
    <x v="1"/>
    <x v="0"/>
    <x v="0"/>
    <x v="2"/>
    <x v="76"/>
    <x v="2"/>
    <x v="94"/>
  </r>
  <r>
    <x v="1"/>
    <x v="6"/>
    <x v="3"/>
    <x v="1"/>
    <x v="77"/>
    <x v="2"/>
    <x v="95"/>
  </r>
  <r>
    <x v="1"/>
    <x v="3"/>
    <x v="2"/>
    <x v="1"/>
    <x v="78"/>
    <x v="2"/>
    <x v="96"/>
  </r>
  <r>
    <x v="0"/>
    <x v="6"/>
    <x v="3"/>
    <x v="1"/>
    <x v="38"/>
    <x v="2"/>
    <x v="97"/>
  </r>
  <r>
    <x v="1"/>
    <x v="0"/>
    <x v="0"/>
    <x v="1"/>
    <x v="79"/>
    <x v="0"/>
    <x v="98"/>
  </r>
  <r>
    <x v="0"/>
    <x v="5"/>
    <x v="3"/>
    <x v="1"/>
    <x v="80"/>
    <x v="1"/>
    <x v="99"/>
  </r>
  <r>
    <x v="1"/>
    <x v="2"/>
    <x v="1"/>
    <x v="2"/>
    <x v="46"/>
    <x v="2"/>
    <x v="100"/>
  </r>
  <r>
    <x v="0"/>
    <x v="6"/>
    <x v="3"/>
    <x v="2"/>
    <x v="81"/>
    <x v="2"/>
    <x v="101"/>
  </r>
  <r>
    <x v="1"/>
    <x v="5"/>
    <x v="3"/>
    <x v="1"/>
    <x v="6"/>
    <x v="1"/>
    <x v="102"/>
  </r>
  <r>
    <x v="1"/>
    <x v="6"/>
    <x v="3"/>
    <x v="1"/>
    <x v="82"/>
    <x v="0"/>
    <x v="103"/>
  </r>
  <r>
    <x v="0"/>
    <x v="0"/>
    <x v="0"/>
    <x v="1"/>
    <x v="83"/>
    <x v="2"/>
    <x v="104"/>
  </r>
  <r>
    <x v="0"/>
    <x v="0"/>
    <x v="0"/>
    <x v="2"/>
    <x v="84"/>
    <x v="2"/>
    <x v="105"/>
  </r>
  <r>
    <x v="0"/>
    <x v="3"/>
    <x v="2"/>
    <x v="1"/>
    <x v="85"/>
    <x v="1"/>
    <x v="106"/>
  </r>
  <r>
    <x v="1"/>
    <x v="3"/>
    <x v="2"/>
    <x v="2"/>
    <x v="86"/>
    <x v="0"/>
    <x v="107"/>
  </r>
  <r>
    <x v="1"/>
    <x v="1"/>
    <x v="0"/>
    <x v="1"/>
    <x v="87"/>
    <x v="2"/>
    <x v="108"/>
  </r>
  <r>
    <x v="0"/>
    <x v="6"/>
    <x v="3"/>
    <x v="2"/>
    <x v="88"/>
    <x v="2"/>
    <x v="109"/>
  </r>
  <r>
    <x v="1"/>
    <x v="7"/>
    <x v="1"/>
    <x v="1"/>
    <x v="37"/>
    <x v="3"/>
    <x v="110"/>
  </r>
  <r>
    <x v="0"/>
    <x v="1"/>
    <x v="0"/>
    <x v="1"/>
    <x v="89"/>
    <x v="3"/>
    <x v="111"/>
  </r>
  <r>
    <x v="1"/>
    <x v="2"/>
    <x v="1"/>
    <x v="1"/>
    <x v="6"/>
    <x v="3"/>
    <x v="112"/>
  </r>
  <r>
    <x v="0"/>
    <x v="7"/>
    <x v="1"/>
    <x v="1"/>
    <x v="37"/>
    <x v="2"/>
    <x v="113"/>
  </r>
  <r>
    <x v="1"/>
    <x v="4"/>
    <x v="2"/>
    <x v="2"/>
    <x v="90"/>
    <x v="2"/>
    <x v="114"/>
  </r>
  <r>
    <x v="1"/>
    <x v="7"/>
    <x v="1"/>
    <x v="2"/>
    <x v="37"/>
    <x v="2"/>
    <x v="115"/>
  </r>
  <r>
    <x v="0"/>
    <x v="7"/>
    <x v="1"/>
    <x v="1"/>
    <x v="37"/>
    <x v="2"/>
    <x v="113"/>
  </r>
  <r>
    <x v="1"/>
    <x v="3"/>
    <x v="2"/>
    <x v="2"/>
    <x v="91"/>
    <x v="2"/>
    <x v="116"/>
  </r>
  <r>
    <x v="1"/>
    <x v="0"/>
    <x v="0"/>
    <x v="1"/>
    <x v="92"/>
    <x v="2"/>
    <x v="117"/>
  </r>
  <r>
    <x v="1"/>
    <x v="3"/>
    <x v="2"/>
    <x v="0"/>
    <x v="93"/>
    <x v="2"/>
    <x v="118"/>
  </r>
  <r>
    <x v="1"/>
    <x v="7"/>
    <x v="1"/>
    <x v="3"/>
    <x v="37"/>
    <x v="2"/>
    <x v="119"/>
  </r>
  <r>
    <x v="1"/>
    <x v="0"/>
    <x v="0"/>
    <x v="0"/>
    <x v="94"/>
    <x v="0"/>
    <x v="120"/>
  </r>
  <r>
    <x v="1"/>
    <x v="7"/>
    <x v="1"/>
    <x v="2"/>
    <x v="39"/>
    <x v="0"/>
    <x v="71"/>
  </r>
  <r>
    <x v="1"/>
    <x v="0"/>
    <x v="0"/>
    <x v="2"/>
    <x v="95"/>
    <x v="2"/>
    <x v="121"/>
  </r>
  <r>
    <x v="0"/>
    <x v="4"/>
    <x v="2"/>
    <x v="1"/>
    <x v="96"/>
    <x v="1"/>
    <x v="122"/>
  </r>
  <r>
    <x v="1"/>
    <x v="2"/>
    <x v="1"/>
    <x v="3"/>
    <x v="97"/>
    <x v="2"/>
    <x v="123"/>
  </r>
  <r>
    <x v="1"/>
    <x v="5"/>
    <x v="3"/>
    <x v="0"/>
    <x v="18"/>
    <x v="3"/>
    <x v="124"/>
  </r>
  <r>
    <x v="1"/>
    <x v="0"/>
    <x v="0"/>
    <x v="2"/>
    <x v="98"/>
    <x v="3"/>
    <x v="125"/>
  </r>
  <r>
    <x v="1"/>
    <x v="7"/>
    <x v="1"/>
    <x v="0"/>
    <x v="55"/>
    <x v="3"/>
    <x v="126"/>
  </r>
  <r>
    <x v="1"/>
    <x v="5"/>
    <x v="3"/>
    <x v="2"/>
    <x v="99"/>
    <x v="2"/>
    <x v="127"/>
  </r>
  <r>
    <x v="1"/>
    <x v="6"/>
    <x v="3"/>
    <x v="1"/>
    <x v="100"/>
    <x v="1"/>
    <x v="128"/>
  </r>
  <r>
    <x v="1"/>
    <x v="2"/>
    <x v="1"/>
    <x v="1"/>
    <x v="67"/>
    <x v="2"/>
    <x v="129"/>
  </r>
  <r>
    <x v="1"/>
    <x v="4"/>
    <x v="2"/>
    <x v="1"/>
    <x v="101"/>
    <x v="2"/>
    <x v="130"/>
  </r>
  <r>
    <x v="1"/>
    <x v="3"/>
    <x v="2"/>
    <x v="0"/>
    <x v="102"/>
    <x v="2"/>
    <x v="131"/>
  </r>
  <r>
    <x v="1"/>
    <x v="5"/>
    <x v="3"/>
    <x v="1"/>
    <x v="80"/>
    <x v="2"/>
    <x v="132"/>
  </r>
  <r>
    <x v="1"/>
    <x v="3"/>
    <x v="2"/>
    <x v="1"/>
    <x v="103"/>
    <x v="1"/>
    <x v="133"/>
  </r>
  <r>
    <x v="0"/>
    <x v="1"/>
    <x v="0"/>
    <x v="0"/>
    <x v="104"/>
    <x v="2"/>
    <x v="134"/>
  </r>
  <r>
    <x v="1"/>
    <x v="6"/>
    <x v="3"/>
    <x v="1"/>
    <x v="105"/>
    <x v="1"/>
    <x v="135"/>
  </r>
  <r>
    <x v="1"/>
    <x v="0"/>
    <x v="0"/>
    <x v="1"/>
    <x v="106"/>
    <x v="2"/>
    <x v="136"/>
  </r>
  <r>
    <x v="1"/>
    <x v="4"/>
    <x v="2"/>
    <x v="2"/>
    <x v="11"/>
    <x v="2"/>
    <x v="137"/>
  </r>
  <r>
    <x v="1"/>
    <x v="3"/>
    <x v="2"/>
    <x v="2"/>
    <x v="107"/>
    <x v="2"/>
    <x v="138"/>
  </r>
  <r>
    <x v="1"/>
    <x v="4"/>
    <x v="2"/>
    <x v="2"/>
    <x v="108"/>
    <x v="2"/>
    <x v="139"/>
  </r>
  <r>
    <x v="1"/>
    <x v="5"/>
    <x v="3"/>
    <x v="1"/>
    <x v="109"/>
    <x v="1"/>
    <x v="140"/>
  </r>
  <r>
    <x v="0"/>
    <x v="7"/>
    <x v="1"/>
    <x v="2"/>
    <x v="29"/>
    <x v="0"/>
    <x v="141"/>
  </r>
  <r>
    <x v="0"/>
    <x v="6"/>
    <x v="3"/>
    <x v="1"/>
    <x v="110"/>
    <x v="2"/>
    <x v="142"/>
  </r>
  <r>
    <x v="1"/>
    <x v="4"/>
    <x v="2"/>
    <x v="2"/>
    <x v="111"/>
    <x v="2"/>
    <x v="143"/>
  </r>
  <r>
    <x v="1"/>
    <x v="5"/>
    <x v="3"/>
    <x v="2"/>
    <x v="46"/>
    <x v="2"/>
    <x v="100"/>
  </r>
  <r>
    <x v="1"/>
    <x v="1"/>
    <x v="0"/>
    <x v="0"/>
    <x v="112"/>
    <x v="2"/>
    <x v="144"/>
  </r>
  <r>
    <x v="1"/>
    <x v="3"/>
    <x v="2"/>
    <x v="1"/>
    <x v="113"/>
    <x v="1"/>
    <x v="145"/>
  </r>
  <r>
    <x v="1"/>
    <x v="1"/>
    <x v="0"/>
    <x v="2"/>
    <x v="114"/>
    <x v="3"/>
    <x v="146"/>
  </r>
  <r>
    <x v="1"/>
    <x v="0"/>
    <x v="0"/>
    <x v="1"/>
    <x v="115"/>
    <x v="1"/>
    <x v="147"/>
  </r>
  <r>
    <x v="0"/>
    <x v="0"/>
    <x v="0"/>
    <x v="1"/>
    <x v="116"/>
    <x v="3"/>
    <x v="148"/>
  </r>
  <r>
    <x v="0"/>
    <x v="2"/>
    <x v="1"/>
    <x v="3"/>
    <x v="6"/>
    <x v="2"/>
    <x v="149"/>
  </r>
  <r>
    <x v="0"/>
    <x v="3"/>
    <x v="2"/>
    <x v="0"/>
    <x v="117"/>
    <x v="2"/>
    <x v="150"/>
  </r>
  <r>
    <x v="1"/>
    <x v="5"/>
    <x v="3"/>
    <x v="1"/>
    <x v="118"/>
    <x v="1"/>
    <x v="151"/>
  </r>
  <r>
    <x v="0"/>
    <x v="2"/>
    <x v="1"/>
    <x v="1"/>
    <x v="33"/>
    <x v="3"/>
    <x v="152"/>
  </r>
  <r>
    <x v="1"/>
    <x v="3"/>
    <x v="2"/>
    <x v="1"/>
    <x v="119"/>
    <x v="2"/>
    <x v="153"/>
  </r>
  <r>
    <x v="1"/>
    <x v="5"/>
    <x v="3"/>
    <x v="3"/>
    <x v="4"/>
    <x v="1"/>
    <x v="154"/>
  </r>
  <r>
    <x v="0"/>
    <x v="7"/>
    <x v="1"/>
    <x v="2"/>
    <x v="39"/>
    <x v="3"/>
    <x v="110"/>
  </r>
  <r>
    <x v="1"/>
    <x v="6"/>
    <x v="3"/>
    <x v="1"/>
    <x v="62"/>
    <x v="1"/>
    <x v="155"/>
  </r>
  <r>
    <x v="1"/>
    <x v="1"/>
    <x v="0"/>
    <x v="1"/>
    <x v="120"/>
    <x v="2"/>
    <x v="156"/>
  </r>
  <r>
    <x v="1"/>
    <x v="3"/>
    <x v="2"/>
    <x v="1"/>
    <x v="121"/>
    <x v="2"/>
    <x v="157"/>
  </r>
  <r>
    <x v="1"/>
    <x v="7"/>
    <x v="1"/>
    <x v="2"/>
    <x v="122"/>
    <x v="2"/>
    <x v="32"/>
  </r>
  <r>
    <x v="0"/>
    <x v="4"/>
    <x v="2"/>
    <x v="1"/>
    <x v="123"/>
    <x v="2"/>
    <x v="158"/>
  </r>
  <r>
    <x v="0"/>
    <x v="4"/>
    <x v="2"/>
    <x v="1"/>
    <x v="124"/>
    <x v="2"/>
    <x v="159"/>
  </r>
  <r>
    <x v="0"/>
    <x v="4"/>
    <x v="2"/>
    <x v="1"/>
    <x v="125"/>
    <x v="0"/>
    <x v="160"/>
  </r>
  <r>
    <x v="1"/>
    <x v="4"/>
    <x v="2"/>
    <x v="1"/>
    <x v="126"/>
    <x v="0"/>
    <x v="161"/>
  </r>
  <r>
    <x v="1"/>
    <x v="2"/>
    <x v="1"/>
    <x v="1"/>
    <x v="37"/>
    <x v="1"/>
    <x v="162"/>
  </r>
  <r>
    <x v="0"/>
    <x v="4"/>
    <x v="2"/>
    <x v="0"/>
    <x v="127"/>
    <x v="3"/>
    <x v="163"/>
  </r>
  <r>
    <x v="1"/>
    <x v="4"/>
    <x v="2"/>
    <x v="1"/>
    <x v="128"/>
    <x v="2"/>
    <x v="164"/>
  </r>
  <r>
    <x v="1"/>
    <x v="0"/>
    <x v="0"/>
    <x v="1"/>
    <x v="129"/>
    <x v="1"/>
    <x v="165"/>
  </r>
  <r>
    <x v="1"/>
    <x v="6"/>
    <x v="3"/>
    <x v="1"/>
    <x v="130"/>
    <x v="0"/>
    <x v="166"/>
  </r>
  <r>
    <x v="0"/>
    <x v="6"/>
    <x v="3"/>
    <x v="2"/>
    <x v="131"/>
    <x v="0"/>
    <x v="167"/>
  </r>
  <r>
    <x v="1"/>
    <x v="2"/>
    <x v="1"/>
    <x v="0"/>
    <x v="37"/>
    <x v="2"/>
    <x v="168"/>
  </r>
  <r>
    <x v="1"/>
    <x v="5"/>
    <x v="3"/>
    <x v="0"/>
    <x v="6"/>
    <x v="2"/>
    <x v="169"/>
  </r>
  <r>
    <x v="1"/>
    <x v="2"/>
    <x v="1"/>
    <x v="0"/>
    <x v="4"/>
    <x v="2"/>
    <x v="170"/>
  </r>
  <r>
    <x v="2"/>
    <x v="8"/>
    <x v="4"/>
    <x v="4"/>
    <x v="132"/>
    <x v="4"/>
    <x v="17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181">
  <r>
    <x v="0"/>
    <x v="0"/>
    <x v="0"/>
  </r>
  <r>
    <x v="0"/>
    <x v="0"/>
    <x v="1"/>
  </r>
  <r>
    <x v="1"/>
    <x v="0"/>
    <x v="2"/>
  </r>
  <r>
    <x v="1"/>
    <x v="0"/>
    <x v="1"/>
  </r>
  <r>
    <x v="2"/>
    <x v="1"/>
    <x v="0"/>
  </r>
  <r>
    <x v="3"/>
    <x v="2"/>
    <x v="3"/>
  </r>
  <r>
    <x v="2"/>
    <x v="1"/>
    <x v="2"/>
  </r>
  <r>
    <x v="1"/>
    <x v="0"/>
    <x v="2"/>
  </r>
  <r>
    <x v="0"/>
    <x v="0"/>
    <x v="1"/>
  </r>
  <r>
    <x v="4"/>
    <x v="2"/>
    <x v="2"/>
  </r>
  <r>
    <x v="4"/>
    <x v="2"/>
    <x v="3"/>
  </r>
  <r>
    <x v="4"/>
    <x v="2"/>
    <x v="2"/>
  </r>
  <r>
    <x v="0"/>
    <x v="0"/>
    <x v="2"/>
  </r>
  <r>
    <x v="3"/>
    <x v="2"/>
    <x v="1"/>
  </r>
  <r>
    <x v="1"/>
    <x v="0"/>
    <x v="2"/>
  </r>
  <r>
    <x v="1"/>
    <x v="0"/>
    <x v="1"/>
  </r>
  <r>
    <x v="3"/>
    <x v="2"/>
    <x v="1"/>
  </r>
  <r>
    <x v="0"/>
    <x v="0"/>
    <x v="3"/>
  </r>
  <r>
    <x v="1"/>
    <x v="0"/>
    <x v="1"/>
  </r>
  <r>
    <x v="5"/>
    <x v="3"/>
    <x v="0"/>
  </r>
  <r>
    <x v="5"/>
    <x v="3"/>
    <x v="1"/>
  </r>
  <r>
    <x v="4"/>
    <x v="2"/>
    <x v="1"/>
  </r>
  <r>
    <x v="3"/>
    <x v="2"/>
    <x v="1"/>
  </r>
  <r>
    <x v="6"/>
    <x v="3"/>
    <x v="2"/>
  </r>
  <r>
    <x v="0"/>
    <x v="0"/>
    <x v="1"/>
  </r>
  <r>
    <x v="1"/>
    <x v="0"/>
    <x v="1"/>
  </r>
  <r>
    <x v="3"/>
    <x v="2"/>
    <x v="1"/>
  </r>
  <r>
    <x v="0"/>
    <x v="0"/>
    <x v="3"/>
  </r>
  <r>
    <x v="6"/>
    <x v="3"/>
    <x v="2"/>
  </r>
  <r>
    <x v="2"/>
    <x v="1"/>
    <x v="1"/>
  </r>
  <r>
    <x v="2"/>
    <x v="1"/>
    <x v="0"/>
  </r>
  <r>
    <x v="2"/>
    <x v="1"/>
    <x v="2"/>
  </r>
  <r>
    <x v="7"/>
    <x v="1"/>
    <x v="1"/>
  </r>
  <r>
    <x v="1"/>
    <x v="0"/>
    <x v="0"/>
  </r>
  <r>
    <x v="7"/>
    <x v="1"/>
    <x v="1"/>
  </r>
  <r>
    <x v="6"/>
    <x v="3"/>
    <x v="2"/>
  </r>
  <r>
    <x v="6"/>
    <x v="3"/>
    <x v="0"/>
  </r>
  <r>
    <x v="5"/>
    <x v="3"/>
    <x v="2"/>
  </r>
  <r>
    <x v="4"/>
    <x v="2"/>
    <x v="2"/>
  </r>
  <r>
    <x v="0"/>
    <x v="0"/>
    <x v="2"/>
  </r>
  <r>
    <x v="1"/>
    <x v="0"/>
    <x v="1"/>
  </r>
  <r>
    <x v="1"/>
    <x v="0"/>
    <x v="3"/>
  </r>
  <r>
    <x v="4"/>
    <x v="2"/>
    <x v="3"/>
  </r>
  <r>
    <x v="7"/>
    <x v="1"/>
    <x v="3"/>
  </r>
  <r>
    <x v="4"/>
    <x v="2"/>
    <x v="1"/>
  </r>
  <r>
    <x v="7"/>
    <x v="1"/>
    <x v="1"/>
  </r>
  <r>
    <x v="0"/>
    <x v="0"/>
    <x v="0"/>
  </r>
  <r>
    <x v="7"/>
    <x v="1"/>
    <x v="1"/>
  </r>
  <r>
    <x v="3"/>
    <x v="2"/>
    <x v="1"/>
  </r>
  <r>
    <x v="6"/>
    <x v="3"/>
    <x v="1"/>
  </r>
  <r>
    <x v="5"/>
    <x v="3"/>
    <x v="3"/>
  </r>
  <r>
    <x v="6"/>
    <x v="3"/>
    <x v="0"/>
  </r>
  <r>
    <x v="7"/>
    <x v="1"/>
    <x v="1"/>
  </r>
  <r>
    <x v="0"/>
    <x v="0"/>
    <x v="1"/>
  </r>
  <r>
    <x v="4"/>
    <x v="2"/>
    <x v="1"/>
  </r>
  <r>
    <x v="0"/>
    <x v="0"/>
    <x v="1"/>
  </r>
  <r>
    <x v="5"/>
    <x v="3"/>
    <x v="1"/>
  </r>
  <r>
    <x v="3"/>
    <x v="2"/>
    <x v="1"/>
  </r>
  <r>
    <x v="1"/>
    <x v="0"/>
    <x v="1"/>
  </r>
  <r>
    <x v="1"/>
    <x v="0"/>
    <x v="1"/>
  </r>
  <r>
    <x v="7"/>
    <x v="1"/>
    <x v="2"/>
  </r>
  <r>
    <x v="6"/>
    <x v="3"/>
    <x v="1"/>
  </r>
  <r>
    <x v="4"/>
    <x v="2"/>
    <x v="1"/>
  </r>
  <r>
    <x v="4"/>
    <x v="2"/>
    <x v="1"/>
  </r>
  <r>
    <x v="4"/>
    <x v="2"/>
    <x v="2"/>
  </r>
  <r>
    <x v="1"/>
    <x v="0"/>
    <x v="0"/>
  </r>
  <r>
    <x v="7"/>
    <x v="1"/>
    <x v="3"/>
  </r>
  <r>
    <x v="3"/>
    <x v="2"/>
    <x v="1"/>
  </r>
  <r>
    <x v="2"/>
    <x v="1"/>
    <x v="1"/>
  </r>
  <r>
    <x v="3"/>
    <x v="2"/>
    <x v="1"/>
  </r>
  <r>
    <x v="6"/>
    <x v="3"/>
    <x v="0"/>
  </r>
  <r>
    <x v="4"/>
    <x v="2"/>
    <x v="3"/>
  </r>
  <r>
    <x v="5"/>
    <x v="3"/>
    <x v="1"/>
  </r>
  <r>
    <x v="7"/>
    <x v="1"/>
    <x v="1"/>
  </r>
  <r>
    <x v="7"/>
    <x v="1"/>
    <x v="1"/>
  </r>
  <r>
    <x v="4"/>
    <x v="2"/>
    <x v="2"/>
  </r>
  <r>
    <x v="6"/>
    <x v="3"/>
    <x v="1"/>
  </r>
  <r>
    <x v="7"/>
    <x v="1"/>
    <x v="2"/>
  </r>
  <r>
    <x v="6"/>
    <x v="3"/>
    <x v="1"/>
  </r>
  <r>
    <x v="1"/>
    <x v="0"/>
    <x v="3"/>
  </r>
  <r>
    <x v="4"/>
    <x v="2"/>
    <x v="0"/>
  </r>
  <r>
    <x v="6"/>
    <x v="3"/>
    <x v="3"/>
  </r>
  <r>
    <x v="0"/>
    <x v="0"/>
    <x v="0"/>
  </r>
  <r>
    <x v="7"/>
    <x v="1"/>
    <x v="2"/>
  </r>
  <r>
    <x v="2"/>
    <x v="1"/>
    <x v="2"/>
  </r>
  <r>
    <x v="6"/>
    <x v="3"/>
    <x v="1"/>
  </r>
  <r>
    <x v="2"/>
    <x v="1"/>
    <x v="3"/>
  </r>
  <r>
    <x v="7"/>
    <x v="1"/>
    <x v="2"/>
  </r>
  <r>
    <x v="4"/>
    <x v="2"/>
    <x v="3"/>
  </r>
  <r>
    <x v="4"/>
    <x v="2"/>
    <x v="1"/>
  </r>
  <r>
    <x v="1"/>
    <x v="0"/>
    <x v="2"/>
  </r>
  <r>
    <x v="7"/>
    <x v="1"/>
    <x v="2"/>
  </r>
  <r>
    <x v="1"/>
    <x v="0"/>
    <x v="1"/>
  </r>
  <r>
    <x v="7"/>
    <x v="1"/>
    <x v="2"/>
  </r>
  <r>
    <x v="5"/>
    <x v="3"/>
    <x v="0"/>
  </r>
  <r>
    <x v="5"/>
    <x v="3"/>
    <x v="1"/>
  </r>
  <r>
    <x v="0"/>
    <x v="0"/>
    <x v="2"/>
  </r>
  <r>
    <x v="0"/>
    <x v="0"/>
    <x v="1"/>
  </r>
  <r>
    <x v="0"/>
    <x v="0"/>
    <x v="2"/>
  </r>
  <r>
    <x v="6"/>
    <x v="3"/>
    <x v="1"/>
  </r>
  <r>
    <x v="3"/>
    <x v="2"/>
    <x v="1"/>
  </r>
  <r>
    <x v="6"/>
    <x v="3"/>
    <x v="1"/>
  </r>
  <r>
    <x v="0"/>
    <x v="0"/>
    <x v="1"/>
  </r>
  <r>
    <x v="5"/>
    <x v="3"/>
    <x v="1"/>
  </r>
  <r>
    <x v="2"/>
    <x v="1"/>
    <x v="2"/>
  </r>
  <r>
    <x v="6"/>
    <x v="3"/>
    <x v="2"/>
  </r>
  <r>
    <x v="5"/>
    <x v="3"/>
    <x v="1"/>
  </r>
  <r>
    <x v="6"/>
    <x v="3"/>
    <x v="1"/>
  </r>
  <r>
    <x v="0"/>
    <x v="0"/>
    <x v="1"/>
  </r>
  <r>
    <x v="0"/>
    <x v="0"/>
    <x v="2"/>
  </r>
  <r>
    <x v="3"/>
    <x v="2"/>
    <x v="1"/>
  </r>
  <r>
    <x v="3"/>
    <x v="2"/>
    <x v="2"/>
  </r>
  <r>
    <x v="1"/>
    <x v="0"/>
    <x v="1"/>
  </r>
  <r>
    <x v="6"/>
    <x v="3"/>
    <x v="2"/>
  </r>
  <r>
    <x v="7"/>
    <x v="1"/>
    <x v="1"/>
  </r>
  <r>
    <x v="1"/>
    <x v="0"/>
    <x v="1"/>
  </r>
  <r>
    <x v="2"/>
    <x v="1"/>
    <x v="1"/>
  </r>
  <r>
    <x v="7"/>
    <x v="1"/>
    <x v="1"/>
  </r>
  <r>
    <x v="4"/>
    <x v="2"/>
    <x v="2"/>
  </r>
  <r>
    <x v="7"/>
    <x v="1"/>
    <x v="2"/>
  </r>
  <r>
    <x v="7"/>
    <x v="1"/>
    <x v="1"/>
  </r>
  <r>
    <x v="3"/>
    <x v="2"/>
    <x v="2"/>
  </r>
  <r>
    <x v="0"/>
    <x v="0"/>
    <x v="1"/>
  </r>
  <r>
    <x v="3"/>
    <x v="2"/>
    <x v="0"/>
  </r>
  <r>
    <x v="7"/>
    <x v="1"/>
    <x v="3"/>
  </r>
  <r>
    <x v="0"/>
    <x v="0"/>
    <x v="0"/>
  </r>
  <r>
    <x v="7"/>
    <x v="1"/>
    <x v="2"/>
  </r>
  <r>
    <x v="0"/>
    <x v="0"/>
    <x v="2"/>
  </r>
  <r>
    <x v="4"/>
    <x v="2"/>
    <x v="1"/>
  </r>
  <r>
    <x v="2"/>
    <x v="1"/>
    <x v="3"/>
  </r>
  <r>
    <x v="5"/>
    <x v="3"/>
    <x v="0"/>
  </r>
  <r>
    <x v="0"/>
    <x v="0"/>
    <x v="2"/>
  </r>
  <r>
    <x v="7"/>
    <x v="1"/>
    <x v="0"/>
  </r>
  <r>
    <x v="5"/>
    <x v="3"/>
    <x v="2"/>
  </r>
  <r>
    <x v="6"/>
    <x v="3"/>
    <x v="1"/>
  </r>
  <r>
    <x v="2"/>
    <x v="1"/>
    <x v="1"/>
  </r>
  <r>
    <x v="4"/>
    <x v="2"/>
    <x v="1"/>
  </r>
  <r>
    <x v="3"/>
    <x v="2"/>
    <x v="0"/>
  </r>
  <r>
    <x v="5"/>
    <x v="3"/>
    <x v="1"/>
  </r>
  <r>
    <x v="3"/>
    <x v="2"/>
    <x v="1"/>
  </r>
  <r>
    <x v="1"/>
    <x v="0"/>
    <x v="0"/>
  </r>
  <r>
    <x v="6"/>
    <x v="3"/>
    <x v="1"/>
  </r>
  <r>
    <x v="0"/>
    <x v="0"/>
    <x v="1"/>
  </r>
  <r>
    <x v="4"/>
    <x v="2"/>
    <x v="2"/>
  </r>
  <r>
    <x v="3"/>
    <x v="2"/>
    <x v="2"/>
  </r>
  <r>
    <x v="4"/>
    <x v="2"/>
    <x v="2"/>
  </r>
  <r>
    <x v="5"/>
    <x v="3"/>
    <x v="1"/>
  </r>
  <r>
    <x v="7"/>
    <x v="1"/>
    <x v="2"/>
  </r>
  <r>
    <x v="6"/>
    <x v="3"/>
    <x v="1"/>
  </r>
  <r>
    <x v="4"/>
    <x v="2"/>
    <x v="2"/>
  </r>
  <r>
    <x v="5"/>
    <x v="3"/>
    <x v="2"/>
  </r>
  <r>
    <x v="1"/>
    <x v="0"/>
    <x v="0"/>
  </r>
  <r>
    <x v="3"/>
    <x v="2"/>
    <x v="1"/>
  </r>
  <r>
    <x v="1"/>
    <x v="0"/>
    <x v="2"/>
  </r>
  <r>
    <x v="0"/>
    <x v="0"/>
    <x v="1"/>
  </r>
  <r>
    <x v="0"/>
    <x v="0"/>
    <x v="1"/>
  </r>
  <r>
    <x v="2"/>
    <x v="1"/>
    <x v="3"/>
  </r>
  <r>
    <x v="3"/>
    <x v="2"/>
    <x v="0"/>
  </r>
  <r>
    <x v="5"/>
    <x v="3"/>
    <x v="1"/>
  </r>
  <r>
    <x v="2"/>
    <x v="1"/>
    <x v="1"/>
  </r>
  <r>
    <x v="3"/>
    <x v="2"/>
    <x v="1"/>
  </r>
  <r>
    <x v="5"/>
    <x v="3"/>
    <x v="3"/>
  </r>
  <r>
    <x v="7"/>
    <x v="1"/>
    <x v="2"/>
  </r>
  <r>
    <x v="6"/>
    <x v="3"/>
    <x v="1"/>
  </r>
  <r>
    <x v="1"/>
    <x v="0"/>
    <x v="1"/>
  </r>
  <r>
    <x v="3"/>
    <x v="2"/>
    <x v="1"/>
  </r>
  <r>
    <x v="7"/>
    <x v="1"/>
    <x v="2"/>
  </r>
  <r>
    <x v="4"/>
    <x v="2"/>
    <x v="1"/>
  </r>
  <r>
    <x v="4"/>
    <x v="2"/>
    <x v="1"/>
  </r>
  <r>
    <x v="4"/>
    <x v="2"/>
    <x v="1"/>
  </r>
  <r>
    <x v="4"/>
    <x v="2"/>
    <x v="1"/>
  </r>
  <r>
    <x v="2"/>
    <x v="1"/>
    <x v="1"/>
  </r>
  <r>
    <x v="4"/>
    <x v="2"/>
    <x v="0"/>
  </r>
  <r>
    <x v="4"/>
    <x v="2"/>
    <x v="1"/>
  </r>
  <r>
    <x v="0"/>
    <x v="0"/>
    <x v="1"/>
  </r>
  <r>
    <x v="6"/>
    <x v="3"/>
    <x v="1"/>
  </r>
  <r>
    <x v="6"/>
    <x v="3"/>
    <x v="2"/>
  </r>
  <r>
    <x v="2"/>
    <x v="1"/>
    <x v="0"/>
  </r>
  <r>
    <x v="5"/>
    <x v="3"/>
    <x v="0"/>
  </r>
  <r>
    <x v="2"/>
    <x v="1"/>
    <x v="0"/>
  </r>
  <r>
    <x v="8"/>
    <x v="4"/>
    <x v="4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181">
  <r>
    <x v="0"/>
    <x v="0"/>
    <x v="0"/>
    <x v="0"/>
    <x v="0"/>
  </r>
  <r>
    <x v="0"/>
    <x v="0"/>
    <x v="1"/>
    <x v="1"/>
    <x v="1"/>
  </r>
  <r>
    <x v="1"/>
    <x v="0"/>
    <x v="2"/>
    <x v="2"/>
    <x v="2"/>
  </r>
  <r>
    <x v="1"/>
    <x v="0"/>
    <x v="1"/>
    <x v="3"/>
    <x v="3"/>
  </r>
  <r>
    <x v="2"/>
    <x v="1"/>
    <x v="0"/>
    <x v="4"/>
    <x v="3"/>
  </r>
  <r>
    <x v="3"/>
    <x v="2"/>
    <x v="3"/>
    <x v="5"/>
    <x v="0"/>
  </r>
  <r>
    <x v="2"/>
    <x v="1"/>
    <x v="2"/>
    <x v="6"/>
    <x v="3"/>
  </r>
  <r>
    <x v="1"/>
    <x v="0"/>
    <x v="2"/>
    <x v="7"/>
    <x v="2"/>
  </r>
  <r>
    <x v="0"/>
    <x v="0"/>
    <x v="1"/>
    <x v="8"/>
    <x v="2"/>
  </r>
  <r>
    <x v="4"/>
    <x v="2"/>
    <x v="2"/>
    <x v="9"/>
    <x v="1"/>
  </r>
  <r>
    <x v="4"/>
    <x v="2"/>
    <x v="3"/>
    <x v="10"/>
    <x v="0"/>
  </r>
  <r>
    <x v="4"/>
    <x v="2"/>
    <x v="2"/>
    <x v="11"/>
    <x v="0"/>
  </r>
  <r>
    <x v="0"/>
    <x v="0"/>
    <x v="2"/>
    <x v="12"/>
    <x v="2"/>
  </r>
  <r>
    <x v="3"/>
    <x v="2"/>
    <x v="1"/>
    <x v="13"/>
    <x v="2"/>
  </r>
  <r>
    <x v="1"/>
    <x v="0"/>
    <x v="2"/>
    <x v="14"/>
    <x v="3"/>
  </r>
  <r>
    <x v="1"/>
    <x v="0"/>
    <x v="1"/>
    <x v="15"/>
    <x v="2"/>
  </r>
  <r>
    <x v="3"/>
    <x v="2"/>
    <x v="1"/>
    <x v="16"/>
    <x v="2"/>
  </r>
  <r>
    <x v="0"/>
    <x v="0"/>
    <x v="3"/>
    <x v="0"/>
    <x v="0"/>
  </r>
  <r>
    <x v="1"/>
    <x v="0"/>
    <x v="1"/>
    <x v="17"/>
    <x v="0"/>
  </r>
  <r>
    <x v="5"/>
    <x v="3"/>
    <x v="0"/>
    <x v="18"/>
    <x v="0"/>
  </r>
  <r>
    <x v="5"/>
    <x v="3"/>
    <x v="1"/>
    <x v="19"/>
    <x v="2"/>
  </r>
  <r>
    <x v="4"/>
    <x v="2"/>
    <x v="1"/>
    <x v="20"/>
    <x v="0"/>
  </r>
  <r>
    <x v="3"/>
    <x v="2"/>
    <x v="1"/>
    <x v="21"/>
    <x v="1"/>
  </r>
  <r>
    <x v="6"/>
    <x v="3"/>
    <x v="2"/>
    <x v="22"/>
    <x v="2"/>
  </r>
  <r>
    <x v="0"/>
    <x v="0"/>
    <x v="1"/>
    <x v="23"/>
    <x v="1"/>
  </r>
  <r>
    <x v="1"/>
    <x v="0"/>
    <x v="1"/>
    <x v="24"/>
    <x v="1"/>
  </r>
  <r>
    <x v="3"/>
    <x v="2"/>
    <x v="1"/>
    <x v="25"/>
    <x v="2"/>
  </r>
  <r>
    <x v="0"/>
    <x v="0"/>
    <x v="3"/>
    <x v="26"/>
    <x v="2"/>
  </r>
  <r>
    <x v="6"/>
    <x v="3"/>
    <x v="2"/>
    <x v="27"/>
    <x v="1"/>
  </r>
  <r>
    <x v="2"/>
    <x v="1"/>
    <x v="1"/>
    <x v="19"/>
    <x v="3"/>
  </r>
  <r>
    <x v="2"/>
    <x v="1"/>
    <x v="0"/>
    <x v="28"/>
    <x v="2"/>
  </r>
  <r>
    <x v="2"/>
    <x v="1"/>
    <x v="2"/>
    <x v="4"/>
    <x v="1"/>
  </r>
  <r>
    <x v="7"/>
    <x v="1"/>
    <x v="1"/>
    <x v="29"/>
    <x v="2"/>
  </r>
  <r>
    <x v="1"/>
    <x v="0"/>
    <x v="0"/>
    <x v="30"/>
    <x v="2"/>
  </r>
  <r>
    <x v="7"/>
    <x v="1"/>
    <x v="1"/>
    <x v="29"/>
    <x v="1"/>
  </r>
  <r>
    <x v="6"/>
    <x v="3"/>
    <x v="2"/>
    <x v="31"/>
    <x v="2"/>
  </r>
  <r>
    <x v="6"/>
    <x v="3"/>
    <x v="0"/>
    <x v="32"/>
    <x v="2"/>
  </r>
  <r>
    <x v="5"/>
    <x v="3"/>
    <x v="2"/>
    <x v="33"/>
    <x v="2"/>
  </r>
  <r>
    <x v="4"/>
    <x v="2"/>
    <x v="2"/>
    <x v="34"/>
    <x v="2"/>
  </r>
  <r>
    <x v="0"/>
    <x v="0"/>
    <x v="2"/>
    <x v="35"/>
    <x v="3"/>
  </r>
  <r>
    <x v="1"/>
    <x v="0"/>
    <x v="1"/>
    <x v="23"/>
    <x v="3"/>
  </r>
  <r>
    <x v="1"/>
    <x v="0"/>
    <x v="3"/>
    <x v="36"/>
    <x v="1"/>
  </r>
  <r>
    <x v="4"/>
    <x v="2"/>
    <x v="3"/>
    <x v="27"/>
    <x v="2"/>
  </r>
  <r>
    <x v="7"/>
    <x v="1"/>
    <x v="3"/>
    <x v="37"/>
    <x v="1"/>
  </r>
  <r>
    <x v="4"/>
    <x v="2"/>
    <x v="1"/>
    <x v="38"/>
    <x v="1"/>
  </r>
  <r>
    <x v="7"/>
    <x v="1"/>
    <x v="1"/>
    <x v="39"/>
    <x v="2"/>
  </r>
  <r>
    <x v="0"/>
    <x v="0"/>
    <x v="0"/>
    <x v="40"/>
    <x v="0"/>
  </r>
  <r>
    <x v="7"/>
    <x v="1"/>
    <x v="1"/>
    <x v="29"/>
    <x v="2"/>
  </r>
  <r>
    <x v="3"/>
    <x v="2"/>
    <x v="1"/>
    <x v="41"/>
    <x v="2"/>
  </r>
  <r>
    <x v="6"/>
    <x v="3"/>
    <x v="1"/>
    <x v="27"/>
    <x v="3"/>
  </r>
  <r>
    <x v="5"/>
    <x v="3"/>
    <x v="3"/>
    <x v="42"/>
    <x v="0"/>
  </r>
  <r>
    <x v="6"/>
    <x v="3"/>
    <x v="0"/>
    <x v="27"/>
    <x v="0"/>
  </r>
  <r>
    <x v="7"/>
    <x v="1"/>
    <x v="1"/>
    <x v="29"/>
    <x v="1"/>
  </r>
  <r>
    <x v="0"/>
    <x v="0"/>
    <x v="1"/>
    <x v="43"/>
    <x v="1"/>
  </r>
  <r>
    <x v="4"/>
    <x v="2"/>
    <x v="1"/>
    <x v="44"/>
    <x v="2"/>
  </r>
  <r>
    <x v="0"/>
    <x v="0"/>
    <x v="1"/>
    <x v="45"/>
    <x v="2"/>
  </r>
  <r>
    <x v="5"/>
    <x v="3"/>
    <x v="1"/>
    <x v="46"/>
    <x v="2"/>
  </r>
  <r>
    <x v="3"/>
    <x v="2"/>
    <x v="1"/>
    <x v="47"/>
    <x v="0"/>
  </r>
  <r>
    <x v="1"/>
    <x v="0"/>
    <x v="1"/>
    <x v="48"/>
    <x v="1"/>
  </r>
  <r>
    <x v="1"/>
    <x v="0"/>
    <x v="1"/>
    <x v="49"/>
    <x v="1"/>
  </r>
  <r>
    <x v="7"/>
    <x v="1"/>
    <x v="2"/>
    <x v="50"/>
    <x v="1"/>
  </r>
  <r>
    <x v="6"/>
    <x v="3"/>
    <x v="1"/>
    <x v="31"/>
    <x v="2"/>
  </r>
  <r>
    <x v="4"/>
    <x v="2"/>
    <x v="1"/>
    <x v="51"/>
    <x v="2"/>
  </r>
  <r>
    <x v="4"/>
    <x v="2"/>
    <x v="1"/>
    <x v="52"/>
    <x v="1"/>
  </r>
  <r>
    <x v="4"/>
    <x v="2"/>
    <x v="2"/>
    <x v="53"/>
    <x v="2"/>
  </r>
  <r>
    <x v="1"/>
    <x v="0"/>
    <x v="0"/>
    <x v="54"/>
    <x v="3"/>
  </r>
  <r>
    <x v="7"/>
    <x v="1"/>
    <x v="3"/>
    <x v="55"/>
    <x v="2"/>
  </r>
  <r>
    <x v="3"/>
    <x v="2"/>
    <x v="1"/>
    <x v="56"/>
    <x v="2"/>
  </r>
  <r>
    <x v="2"/>
    <x v="1"/>
    <x v="1"/>
    <x v="28"/>
    <x v="3"/>
  </r>
  <r>
    <x v="3"/>
    <x v="2"/>
    <x v="1"/>
    <x v="57"/>
    <x v="2"/>
  </r>
  <r>
    <x v="6"/>
    <x v="3"/>
    <x v="0"/>
    <x v="58"/>
    <x v="1"/>
  </r>
  <r>
    <x v="4"/>
    <x v="2"/>
    <x v="3"/>
    <x v="59"/>
    <x v="2"/>
  </r>
  <r>
    <x v="5"/>
    <x v="3"/>
    <x v="1"/>
    <x v="33"/>
    <x v="2"/>
  </r>
  <r>
    <x v="7"/>
    <x v="1"/>
    <x v="1"/>
    <x v="39"/>
    <x v="2"/>
  </r>
  <r>
    <x v="7"/>
    <x v="1"/>
    <x v="1"/>
    <x v="37"/>
    <x v="0"/>
  </r>
  <r>
    <x v="4"/>
    <x v="2"/>
    <x v="2"/>
    <x v="60"/>
    <x v="2"/>
  </r>
  <r>
    <x v="6"/>
    <x v="3"/>
    <x v="1"/>
    <x v="61"/>
    <x v="2"/>
  </r>
  <r>
    <x v="7"/>
    <x v="1"/>
    <x v="2"/>
    <x v="37"/>
    <x v="1"/>
  </r>
  <r>
    <x v="6"/>
    <x v="3"/>
    <x v="1"/>
    <x v="62"/>
    <x v="3"/>
  </r>
  <r>
    <x v="1"/>
    <x v="0"/>
    <x v="3"/>
    <x v="63"/>
    <x v="2"/>
  </r>
  <r>
    <x v="4"/>
    <x v="2"/>
    <x v="0"/>
    <x v="64"/>
    <x v="2"/>
  </r>
  <r>
    <x v="6"/>
    <x v="3"/>
    <x v="3"/>
    <x v="65"/>
    <x v="2"/>
  </r>
  <r>
    <x v="0"/>
    <x v="0"/>
    <x v="0"/>
    <x v="66"/>
    <x v="2"/>
  </r>
  <r>
    <x v="7"/>
    <x v="1"/>
    <x v="2"/>
    <x v="55"/>
    <x v="2"/>
  </r>
  <r>
    <x v="2"/>
    <x v="1"/>
    <x v="2"/>
    <x v="67"/>
    <x v="1"/>
  </r>
  <r>
    <x v="6"/>
    <x v="3"/>
    <x v="1"/>
    <x v="68"/>
    <x v="1"/>
  </r>
  <r>
    <x v="2"/>
    <x v="1"/>
    <x v="3"/>
    <x v="69"/>
    <x v="0"/>
  </r>
  <r>
    <x v="7"/>
    <x v="1"/>
    <x v="2"/>
    <x v="55"/>
    <x v="2"/>
  </r>
  <r>
    <x v="4"/>
    <x v="2"/>
    <x v="3"/>
    <x v="70"/>
    <x v="1"/>
  </r>
  <r>
    <x v="4"/>
    <x v="2"/>
    <x v="1"/>
    <x v="71"/>
    <x v="2"/>
  </r>
  <r>
    <x v="1"/>
    <x v="0"/>
    <x v="2"/>
    <x v="72"/>
    <x v="2"/>
  </r>
  <r>
    <x v="7"/>
    <x v="1"/>
    <x v="2"/>
    <x v="29"/>
    <x v="2"/>
  </r>
  <r>
    <x v="1"/>
    <x v="0"/>
    <x v="1"/>
    <x v="73"/>
    <x v="2"/>
  </r>
  <r>
    <x v="7"/>
    <x v="1"/>
    <x v="2"/>
    <x v="50"/>
    <x v="3"/>
  </r>
  <r>
    <x v="5"/>
    <x v="3"/>
    <x v="0"/>
    <x v="19"/>
    <x v="0"/>
  </r>
  <r>
    <x v="5"/>
    <x v="3"/>
    <x v="1"/>
    <x v="69"/>
    <x v="2"/>
  </r>
  <r>
    <x v="0"/>
    <x v="0"/>
    <x v="2"/>
    <x v="74"/>
    <x v="2"/>
  </r>
  <r>
    <x v="0"/>
    <x v="0"/>
    <x v="1"/>
    <x v="75"/>
    <x v="0"/>
  </r>
  <r>
    <x v="0"/>
    <x v="0"/>
    <x v="2"/>
    <x v="76"/>
    <x v="2"/>
  </r>
  <r>
    <x v="6"/>
    <x v="3"/>
    <x v="1"/>
    <x v="77"/>
    <x v="2"/>
  </r>
  <r>
    <x v="3"/>
    <x v="2"/>
    <x v="1"/>
    <x v="78"/>
    <x v="2"/>
  </r>
  <r>
    <x v="6"/>
    <x v="3"/>
    <x v="1"/>
    <x v="38"/>
    <x v="2"/>
  </r>
  <r>
    <x v="0"/>
    <x v="0"/>
    <x v="1"/>
    <x v="79"/>
    <x v="0"/>
  </r>
  <r>
    <x v="5"/>
    <x v="3"/>
    <x v="1"/>
    <x v="80"/>
    <x v="1"/>
  </r>
  <r>
    <x v="2"/>
    <x v="1"/>
    <x v="2"/>
    <x v="46"/>
    <x v="2"/>
  </r>
  <r>
    <x v="6"/>
    <x v="3"/>
    <x v="2"/>
    <x v="81"/>
    <x v="2"/>
  </r>
  <r>
    <x v="5"/>
    <x v="3"/>
    <x v="1"/>
    <x v="6"/>
    <x v="1"/>
  </r>
  <r>
    <x v="6"/>
    <x v="3"/>
    <x v="1"/>
    <x v="82"/>
    <x v="0"/>
  </r>
  <r>
    <x v="0"/>
    <x v="0"/>
    <x v="1"/>
    <x v="83"/>
    <x v="2"/>
  </r>
  <r>
    <x v="0"/>
    <x v="0"/>
    <x v="2"/>
    <x v="84"/>
    <x v="2"/>
  </r>
  <r>
    <x v="3"/>
    <x v="2"/>
    <x v="1"/>
    <x v="85"/>
    <x v="1"/>
  </r>
  <r>
    <x v="3"/>
    <x v="2"/>
    <x v="2"/>
    <x v="86"/>
    <x v="0"/>
  </r>
  <r>
    <x v="1"/>
    <x v="0"/>
    <x v="1"/>
    <x v="87"/>
    <x v="2"/>
  </r>
  <r>
    <x v="6"/>
    <x v="3"/>
    <x v="2"/>
    <x v="88"/>
    <x v="2"/>
  </r>
  <r>
    <x v="7"/>
    <x v="1"/>
    <x v="1"/>
    <x v="37"/>
    <x v="3"/>
  </r>
  <r>
    <x v="1"/>
    <x v="0"/>
    <x v="1"/>
    <x v="89"/>
    <x v="3"/>
  </r>
  <r>
    <x v="2"/>
    <x v="1"/>
    <x v="1"/>
    <x v="6"/>
    <x v="3"/>
  </r>
  <r>
    <x v="7"/>
    <x v="1"/>
    <x v="1"/>
    <x v="37"/>
    <x v="2"/>
  </r>
  <r>
    <x v="4"/>
    <x v="2"/>
    <x v="2"/>
    <x v="90"/>
    <x v="2"/>
  </r>
  <r>
    <x v="7"/>
    <x v="1"/>
    <x v="2"/>
    <x v="37"/>
    <x v="2"/>
  </r>
  <r>
    <x v="7"/>
    <x v="1"/>
    <x v="1"/>
    <x v="37"/>
    <x v="2"/>
  </r>
  <r>
    <x v="3"/>
    <x v="2"/>
    <x v="2"/>
    <x v="91"/>
    <x v="2"/>
  </r>
  <r>
    <x v="0"/>
    <x v="0"/>
    <x v="1"/>
    <x v="92"/>
    <x v="2"/>
  </r>
  <r>
    <x v="3"/>
    <x v="2"/>
    <x v="0"/>
    <x v="93"/>
    <x v="2"/>
  </r>
  <r>
    <x v="7"/>
    <x v="1"/>
    <x v="3"/>
    <x v="37"/>
    <x v="2"/>
  </r>
  <r>
    <x v="0"/>
    <x v="0"/>
    <x v="0"/>
    <x v="94"/>
    <x v="0"/>
  </r>
  <r>
    <x v="7"/>
    <x v="1"/>
    <x v="2"/>
    <x v="39"/>
    <x v="0"/>
  </r>
  <r>
    <x v="0"/>
    <x v="0"/>
    <x v="2"/>
    <x v="95"/>
    <x v="2"/>
  </r>
  <r>
    <x v="4"/>
    <x v="2"/>
    <x v="1"/>
    <x v="96"/>
    <x v="1"/>
  </r>
  <r>
    <x v="2"/>
    <x v="1"/>
    <x v="3"/>
    <x v="97"/>
    <x v="2"/>
  </r>
  <r>
    <x v="5"/>
    <x v="3"/>
    <x v="0"/>
    <x v="18"/>
    <x v="3"/>
  </r>
  <r>
    <x v="0"/>
    <x v="0"/>
    <x v="2"/>
    <x v="98"/>
    <x v="3"/>
  </r>
  <r>
    <x v="7"/>
    <x v="1"/>
    <x v="0"/>
    <x v="55"/>
    <x v="3"/>
  </r>
  <r>
    <x v="5"/>
    <x v="3"/>
    <x v="2"/>
    <x v="99"/>
    <x v="2"/>
  </r>
  <r>
    <x v="6"/>
    <x v="3"/>
    <x v="1"/>
    <x v="100"/>
    <x v="1"/>
  </r>
  <r>
    <x v="2"/>
    <x v="1"/>
    <x v="1"/>
    <x v="67"/>
    <x v="2"/>
  </r>
  <r>
    <x v="4"/>
    <x v="2"/>
    <x v="1"/>
    <x v="101"/>
    <x v="2"/>
  </r>
  <r>
    <x v="3"/>
    <x v="2"/>
    <x v="0"/>
    <x v="102"/>
    <x v="2"/>
  </r>
  <r>
    <x v="5"/>
    <x v="3"/>
    <x v="1"/>
    <x v="80"/>
    <x v="2"/>
  </r>
  <r>
    <x v="3"/>
    <x v="2"/>
    <x v="1"/>
    <x v="103"/>
    <x v="1"/>
  </r>
  <r>
    <x v="1"/>
    <x v="0"/>
    <x v="0"/>
    <x v="104"/>
    <x v="2"/>
  </r>
  <r>
    <x v="6"/>
    <x v="3"/>
    <x v="1"/>
    <x v="105"/>
    <x v="1"/>
  </r>
  <r>
    <x v="0"/>
    <x v="0"/>
    <x v="1"/>
    <x v="106"/>
    <x v="2"/>
  </r>
  <r>
    <x v="4"/>
    <x v="2"/>
    <x v="2"/>
    <x v="11"/>
    <x v="2"/>
  </r>
  <r>
    <x v="3"/>
    <x v="2"/>
    <x v="2"/>
    <x v="107"/>
    <x v="2"/>
  </r>
  <r>
    <x v="4"/>
    <x v="2"/>
    <x v="2"/>
    <x v="108"/>
    <x v="2"/>
  </r>
  <r>
    <x v="5"/>
    <x v="3"/>
    <x v="1"/>
    <x v="109"/>
    <x v="1"/>
  </r>
  <r>
    <x v="7"/>
    <x v="1"/>
    <x v="2"/>
    <x v="29"/>
    <x v="0"/>
  </r>
  <r>
    <x v="6"/>
    <x v="3"/>
    <x v="1"/>
    <x v="110"/>
    <x v="2"/>
  </r>
  <r>
    <x v="4"/>
    <x v="2"/>
    <x v="2"/>
    <x v="111"/>
    <x v="2"/>
  </r>
  <r>
    <x v="5"/>
    <x v="3"/>
    <x v="2"/>
    <x v="46"/>
    <x v="2"/>
  </r>
  <r>
    <x v="1"/>
    <x v="0"/>
    <x v="0"/>
    <x v="112"/>
    <x v="2"/>
  </r>
  <r>
    <x v="3"/>
    <x v="2"/>
    <x v="1"/>
    <x v="113"/>
    <x v="1"/>
  </r>
  <r>
    <x v="1"/>
    <x v="0"/>
    <x v="2"/>
    <x v="114"/>
    <x v="3"/>
  </r>
  <r>
    <x v="0"/>
    <x v="0"/>
    <x v="1"/>
    <x v="115"/>
    <x v="1"/>
  </r>
  <r>
    <x v="0"/>
    <x v="0"/>
    <x v="1"/>
    <x v="116"/>
    <x v="3"/>
  </r>
  <r>
    <x v="2"/>
    <x v="1"/>
    <x v="3"/>
    <x v="6"/>
    <x v="2"/>
  </r>
  <r>
    <x v="3"/>
    <x v="2"/>
    <x v="0"/>
    <x v="117"/>
    <x v="2"/>
  </r>
  <r>
    <x v="5"/>
    <x v="3"/>
    <x v="1"/>
    <x v="118"/>
    <x v="1"/>
  </r>
  <r>
    <x v="2"/>
    <x v="1"/>
    <x v="1"/>
    <x v="33"/>
    <x v="3"/>
  </r>
  <r>
    <x v="3"/>
    <x v="2"/>
    <x v="1"/>
    <x v="119"/>
    <x v="2"/>
  </r>
  <r>
    <x v="5"/>
    <x v="3"/>
    <x v="3"/>
    <x v="4"/>
    <x v="1"/>
  </r>
  <r>
    <x v="7"/>
    <x v="1"/>
    <x v="2"/>
    <x v="39"/>
    <x v="3"/>
  </r>
  <r>
    <x v="6"/>
    <x v="3"/>
    <x v="1"/>
    <x v="62"/>
    <x v="1"/>
  </r>
  <r>
    <x v="1"/>
    <x v="0"/>
    <x v="1"/>
    <x v="120"/>
    <x v="2"/>
  </r>
  <r>
    <x v="3"/>
    <x v="2"/>
    <x v="1"/>
    <x v="121"/>
    <x v="2"/>
  </r>
  <r>
    <x v="7"/>
    <x v="1"/>
    <x v="2"/>
    <x v="122"/>
    <x v="2"/>
  </r>
  <r>
    <x v="4"/>
    <x v="2"/>
    <x v="1"/>
    <x v="123"/>
    <x v="2"/>
  </r>
  <r>
    <x v="4"/>
    <x v="2"/>
    <x v="1"/>
    <x v="124"/>
    <x v="2"/>
  </r>
  <r>
    <x v="4"/>
    <x v="2"/>
    <x v="1"/>
    <x v="125"/>
    <x v="0"/>
  </r>
  <r>
    <x v="4"/>
    <x v="2"/>
    <x v="1"/>
    <x v="126"/>
    <x v="0"/>
  </r>
  <r>
    <x v="2"/>
    <x v="1"/>
    <x v="1"/>
    <x v="37"/>
    <x v="1"/>
  </r>
  <r>
    <x v="4"/>
    <x v="2"/>
    <x v="0"/>
    <x v="127"/>
    <x v="3"/>
  </r>
  <r>
    <x v="4"/>
    <x v="2"/>
    <x v="1"/>
    <x v="128"/>
    <x v="2"/>
  </r>
  <r>
    <x v="0"/>
    <x v="0"/>
    <x v="1"/>
    <x v="129"/>
    <x v="1"/>
  </r>
  <r>
    <x v="6"/>
    <x v="3"/>
    <x v="1"/>
    <x v="130"/>
    <x v="0"/>
  </r>
  <r>
    <x v="6"/>
    <x v="3"/>
    <x v="2"/>
    <x v="131"/>
    <x v="0"/>
  </r>
  <r>
    <x v="2"/>
    <x v="1"/>
    <x v="0"/>
    <x v="37"/>
    <x v="2"/>
  </r>
  <r>
    <x v="5"/>
    <x v="3"/>
    <x v="0"/>
    <x v="6"/>
    <x v="2"/>
  </r>
  <r>
    <x v="2"/>
    <x v="1"/>
    <x v="0"/>
    <x v="4"/>
    <x v="2"/>
  </r>
  <r>
    <x v="8"/>
    <x v="4"/>
    <x v="4"/>
    <x v="132"/>
    <x v="4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181">
  <r>
    <x v="0"/>
    <x v="0"/>
    <x v="0"/>
    <x v="0"/>
    <x v="0"/>
    <x v="0"/>
    <x v="0"/>
    <x v="0"/>
    <x v="0"/>
    <x v="0"/>
  </r>
  <r>
    <x v="1"/>
    <x v="1"/>
    <x v="1"/>
    <x v="1"/>
    <x v="0"/>
    <x v="0"/>
    <x v="1"/>
    <x v="1"/>
    <x v="1"/>
    <x v="1"/>
  </r>
  <r>
    <x v="2"/>
    <x v="1"/>
    <x v="2"/>
    <x v="1"/>
    <x v="1"/>
    <x v="0"/>
    <x v="2"/>
    <x v="2"/>
    <x v="2"/>
    <x v="2"/>
  </r>
  <r>
    <x v="3"/>
    <x v="2"/>
    <x v="1"/>
    <x v="0"/>
    <x v="1"/>
    <x v="0"/>
    <x v="1"/>
    <x v="3"/>
    <x v="3"/>
    <x v="3"/>
  </r>
  <r>
    <x v="4"/>
    <x v="3"/>
    <x v="2"/>
    <x v="0"/>
    <x v="2"/>
    <x v="1"/>
    <x v="0"/>
    <x v="4"/>
    <x v="3"/>
    <x v="4"/>
  </r>
  <r>
    <x v="5"/>
    <x v="4"/>
    <x v="3"/>
    <x v="1"/>
    <x v="3"/>
    <x v="2"/>
    <x v="3"/>
    <x v="5"/>
    <x v="0"/>
    <x v="5"/>
  </r>
  <r>
    <x v="6"/>
    <x v="4"/>
    <x v="3"/>
    <x v="1"/>
    <x v="2"/>
    <x v="1"/>
    <x v="2"/>
    <x v="6"/>
    <x v="3"/>
    <x v="6"/>
  </r>
  <r>
    <x v="7"/>
    <x v="5"/>
    <x v="3"/>
    <x v="0"/>
    <x v="1"/>
    <x v="0"/>
    <x v="2"/>
    <x v="7"/>
    <x v="2"/>
    <x v="7"/>
  </r>
  <r>
    <x v="8"/>
    <x v="6"/>
    <x v="3"/>
    <x v="1"/>
    <x v="0"/>
    <x v="0"/>
    <x v="1"/>
    <x v="8"/>
    <x v="2"/>
    <x v="8"/>
  </r>
  <r>
    <x v="9"/>
    <x v="6"/>
    <x v="1"/>
    <x v="1"/>
    <x v="4"/>
    <x v="2"/>
    <x v="2"/>
    <x v="9"/>
    <x v="1"/>
    <x v="9"/>
  </r>
  <r>
    <x v="10"/>
    <x v="7"/>
    <x v="1"/>
    <x v="0"/>
    <x v="4"/>
    <x v="2"/>
    <x v="3"/>
    <x v="10"/>
    <x v="0"/>
    <x v="10"/>
  </r>
  <r>
    <x v="11"/>
    <x v="8"/>
    <x v="0"/>
    <x v="0"/>
    <x v="4"/>
    <x v="2"/>
    <x v="2"/>
    <x v="11"/>
    <x v="0"/>
    <x v="11"/>
  </r>
  <r>
    <x v="12"/>
    <x v="9"/>
    <x v="0"/>
    <x v="0"/>
    <x v="0"/>
    <x v="0"/>
    <x v="2"/>
    <x v="12"/>
    <x v="2"/>
    <x v="12"/>
  </r>
  <r>
    <x v="13"/>
    <x v="9"/>
    <x v="0"/>
    <x v="1"/>
    <x v="3"/>
    <x v="2"/>
    <x v="1"/>
    <x v="13"/>
    <x v="2"/>
    <x v="13"/>
  </r>
  <r>
    <x v="14"/>
    <x v="10"/>
    <x v="4"/>
    <x v="1"/>
    <x v="1"/>
    <x v="0"/>
    <x v="2"/>
    <x v="14"/>
    <x v="3"/>
    <x v="14"/>
  </r>
  <r>
    <x v="15"/>
    <x v="10"/>
    <x v="1"/>
    <x v="1"/>
    <x v="1"/>
    <x v="0"/>
    <x v="1"/>
    <x v="15"/>
    <x v="2"/>
    <x v="15"/>
  </r>
  <r>
    <x v="16"/>
    <x v="10"/>
    <x v="3"/>
    <x v="1"/>
    <x v="3"/>
    <x v="2"/>
    <x v="1"/>
    <x v="16"/>
    <x v="2"/>
    <x v="16"/>
  </r>
  <r>
    <x v="17"/>
    <x v="10"/>
    <x v="0"/>
    <x v="0"/>
    <x v="0"/>
    <x v="0"/>
    <x v="3"/>
    <x v="0"/>
    <x v="0"/>
    <x v="17"/>
  </r>
  <r>
    <x v="18"/>
    <x v="10"/>
    <x v="4"/>
    <x v="0"/>
    <x v="1"/>
    <x v="0"/>
    <x v="1"/>
    <x v="17"/>
    <x v="0"/>
    <x v="18"/>
  </r>
  <r>
    <x v="19"/>
    <x v="11"/>
    <x v="2"/>
    <x v="0"/>
    <x v="5"/>
    <x v="3"/>
    <x v="0"/>
    <x v="18"/>
    <x v="0"/>
    <x v="19"/>
  </r>
  <r>
    <x v="20"/>
    <x v="12"/>
    <x v="0"/>
    <x v="0"/>
    <x v="5"/>
    <x v="3"/>
    <x v="1"/>
    <x v="19"/>
    <x v="2"/>
    <x v="20"/>
  </r>
  <r>
    <x v="21"/>
    <x v="12"/>
    <x v="1"/>
    <x v="1"/>
    <x v="4"/>
    <x v="2"/>
    <x v="1"/>
    <x v="20"/>
    <x v="0"/>
    <x v="21"/>
  </r>
  <r>
    <x v="22"/>
    <x v="12"/>
    <x v="3"/>
    <x v="0"/>
    <x v="3"/>
    <x v="2"/>
    <x v="1"/>
    <x v="21"/>
    <x v="1"/>
    <x v="22"/>
  </r>
  <r>
    <x v="23"/>
    <x v="13"/>
    <x v="2"/>
    <x v="1"/>
    <x v="6"/>
    <x v="3"/>
    <x v="2"/>
    <x v="22"/>
    <x v="2"/>
    <x v="23"/>
  </r>
  <r>
    <x v="24"/>
    <x v="14"/>
    <x v="4"/>
    <x v="1"/>
    <x v="0"/>
    <x v="0"/>
    <x v="1"/>
    <x v="23"/>
    <x v="1"/>
    <x v="24"/>
  </r>
  <r>
    <x v="25"/>
    <x v="15"/>
    <x v="0"/>
    <x v="0"/>
    <x v="1"/>
    <x v="0"/>
    <x v="1"/>
    <x v="24"/>
    <x v="1"/>
    <x v="25"/>
  </r>
  <r>
    <x v="26"/>
    <x v="15"/>
    <x v="1"/>
    <x v="1"/>
    <x v="3"/>
    <x v="2"/>
    <x v="1"/>
    <x v="25"/>
    <x v="2"/>
    <x v="26"/>
  </r>
  <r>
    <x v="27"/>
    <x v="16"/>
    <x v="3"/>
    <x v="1"/>
    <x v="0"/>
    <x v="0"/>
    <x v="3"/>
    <x v="26"/>
    <x v="2"/>
    <x v="27"/>
  </r>
  <r>
    <x v="28"/>
    <x v="16"/>
    <x v="0"/>
    <x v="1"/>
    <x v="6"/>
    <x v="3"/>
    <x v="2"/>
    <x v="27"/>
    <x v="1"/>
    <x v="28"/>
  </r>
  <r>
    <x v="29"/>
    <x v="16"/>
    <x v="1"/>
    <x v="1"/>
    <x v="2"/>
    <x v="1"/>
    <x v="1"/>
    <x v="19"/>
    <x v="3"/>
    <x v="29"/>
  </r>
  <r>
    <x v="30"/>
    <x v="16"/>
    <x v="0"/>
    <x v="1"/>
    <x v="2"/>
    <x v="1"/>
    <x v="0"/>
    <x v="28"/>
    <x v="2"/>
    <x v="30"/>
  </r>
  <r>
    <x v="31"/>
    <x v="17"/>
    <x v="2"/>
    <x v="1"/>
    <x v="2"/>
    <x v="1"/>
    <x v="2"/>
    <x v="4"/>
    <x v="1"/>
    <x v="31"/>
  </r>
  <r>
    <x v="32"/>
    <x v="18"/>
    <x v="3"/>
    <x v="0"/>
    <x v="7"/>
    <x v="1"/>
    <x v="1"/>
    <x v="29"/>
    <x v="2"/>
    <x v="32"/>
  </r>
  <r>
    <x v="33"/>
    <x v="19"/>
    <x v="4"/>
    <x v="1"/>
    <x v="1"/>
    <x v="0"/>
    <x v="0"/>
    <x v="30"/>
    <x v="2"/>
    <x v="33"/>
  </r>
  <r>
    <x v="34"/>
    <x v="19"/>
    <x v="0"/>
    <x v="1"/>
    <x v="7"/>
    <x v="1"/>
    <x v="1"/>
    <x v="29"/>
    <x v="1"/>
    <x v="34"/>
  </r>
  <r>
    <x v="35"/>
    <x v="20"/>
    <x v="4"/>
    <x v="0"/>
    <x v="6"/>
    <x v="3"/>
    <x v="2"/>
    <x v="31"/>
    <x v="2"/>
    <x v="35"/>
  </r>
  <r>
    <x v="36"/>
    <x v="20"/>
    <x v="1"/>
    <x v="0"/>
    <x v="6"/>
    <x v="3"/>
    <x v="0"/>
    <x v="32"/>
    <x v="2"/>
    <x v="36"/>
  </r>
  <r>
    <x v="37"/>
    <x v="21"/>
    <x v="0"/>
    <x v="1"/>
    <x v="5"/>
    <x v="3"/>
    <x v="2"/>
    <x v="33"/>
    <x v="2"/>
    <x v="37"/>
  </r>
  <r>
    <x v="38"/>
    <x v="22"/>
    <x v="4"/>
    <x v="0"/>
    <x v="4"/>
    <x v="2"/>
    <x v="2"/>
    <x v="34"/>
    <x v="2"/>
    <x v="38"/>
  </r>
  <r>
    <x v="39"/>
    <x v="23"/>
    <x v="1"/>
    <x v="1"/>
    <x v="0"/>
    <x v="0"/>
    <x v="2"/>
    <x v="35"/>
    <x v="3"/>
    <x v="39"/>
  </r>
  <r>
    <x v="40"/>
    <x v="24"/>
    <x v="2"/>
    <x v="1"/>
    <x v="1"/>
    <x v="0"/>
    <x v="1"/>
    <x v="23"/>
    <x v="3"/>
    <x v="40"/>
  </r>
  <r>
    <x v="41"/>
    <x v="25"/>
    <x v="1"/>
    <x v="1"/>
    <x v="1"/>
    <x v="0"/>
    <x v="3"/>
    <x v="36"/>
    <x v="1"/>
    <x v="41"/>
  </r>
  <r>
    <x v="42"/>
    <x v="25"/>
    <x v="0"/>
    <x v="1"/>
    <x v="4"/>
    <x v="2"/>
    <x v="3"/>
    <x v="27"/>
    <x v="2"/>
    <x v="42"/>
  </r>
  <r>
    <x v="43"/>
    <x v="26"/>
    <x v="2"/>
    <x v="1"/>
    <x v="7"/>
    <x v="1"/>
    <x v="3"/>
    <x v="37"/>
    <x v="1"/>
    <x v="43"/>
  </r>
  <r>
    <x v="44"/>
    <x v="27"/>
    <x v="0"/>
    <x v="0"/>
    <x v="4"/>
    <x v="2"/>
    <x v="1"/>
    <x v="38"/>
    <x v="1"/>
    <x v="44"/>
  </r>
  <r>
    <x v="45"/>
    <x v="27"/>
    <x v="1"/>
    <x v="1"/>
    <x v="7"/>
    <x v="1"/>
    <x v="1"/>
    <x v="39"/>
    <x v="2"/>
    <x v="45"/>
  </r>
  <r>
    <x v="46"/>
    <x v="28"/>
    <x v="3"/>
    <x v="1"/>
    <x v="0"/>
    <x v="0"/>
    <x v="0"/>
    <x v="40"/>
    <x v="0"/>
    <x v="46"/>
  </r>
  <r>
    <x v="47"/>
    <x v="28"/>
    <x v="3"/>
    <x v="1"/>
    <x v="7"/>
    <x v="1"/>
    <x v="1"/>
    <x v="29"/>
    <x v="2"/>
    <x v="32"/>
  </r>
  <r>
    <x v="48"/>
    <x v="29"/>
    <x v="2"/>
    <x v="0"/>
    <x v="3"/>
    <x v="2"/>
    <x v="1"/>
    <x v="41"/>
    <x v="2"/>
    <x v="47"/>
  </r>
  <r>
    <x v="49"/>
    <x v="29"/>
    <x v="0"/>
    <x v="1"/>
    <x v="6"/>
    <x v="3"/>
    <x v="1"/>
    <x v="27"/>
    <x v="3"/>
    <x v="48"/>
  </r>
  <r>
    <x v="50"/>
    <x v="30"/>
    <x v="2"/>
    <x v="1"/>
    <x v="5"/>
    <x v="3"/>
    <x v="3"/>
    <x v="42"/>
    <x v="0"/>
    <x v="49"/>
  </r>
  <r>
    <x v="51"/>
    <x v="31"/>
    <x v="4"/>
    <x v="1"/>
    <x v="6"/>
    <x v="3"/>
    <x v="0"/>
    <x v="27"/>
    <x v="0"/>
    <x v="50"/>
  </r>
  <r>
    <x v="52"/>
    <x v="32"/>
    <x v="2"/>
    <x v="0"/>
    <x v="7"/>
    <x v="1"/>
    <x v="1"/>
    <x v="29"/>
    <x v="1"/>
    <x v="34"/>
  </r>
  <r>
    <x v="53"/>
    <x v="32"/>
    <x v="2"/>
    <x v="1"/>
    <x v="0"/>
    <x v="0"/>
    <x v="1"/>
    <x v="43"/>
    <x v="1"/>
    <x v="51"/>
  </r>
  <r>
    <x v="54"/>
    <x v="32"/>
    <x v="3"/>
    <x v="1"/>
    <x v="4"/>
    <x v="2"/>
    <x v="1"/>
    <x v="44"/>
    <x v="2"/>
    <x v="52"/>
  </r>
  <r>
    <x v="55"/>
    <x v="33"/>
    <x v="4"/>
    <x v="1"/>
    <x v="0"/>
    <x v="0"/>
    <x v="1"/>
    <x v="45"/>
    <x v="2"/>
    <x v="53"/>
  </r>
  <r>
    <x v="56"/>
    <x v="34"/>
    <x v="0"/>
    <x v="1"/>
    <x v="5"/>
    <x v="3"/>
    <x v="1"/>
    <x v="46"/>
    <x v="2"/>
    <x v="54"/>
  </r>
  <r>
    <x v="57"/>
    <x v="34"/>
    <x v="0"/>
    <x v="1"/>
    <x v="3"/>
    <x v="2"/>
    <x v="1"/>
    <x v="47"/>
    <x v="0"/>
    <x v="55"/>
  </r>
  <r>
    <x v="58"/>
    <x v="34"/>
    <x v="3"/>
    <x v="1"/>
    <x v="1"/>
    <x v="0"/>
    <x v="1"/>
    <x v="48"/>
    <x v="1"/>
    <x v="56"/>
  </r>
  <r>
    <x v="59"/>
    <x v="35"/>
    <x v="4"/>
    <x v="1"/>
    <x v="1"/>
    <x v="0"/>
    <x v="1"/>
    <x v="49"/>
    <x v="1"/>
    <x v="57"/>
  </r>
  <r>
    <x v="60"/>
    <x v="35"/>
    <x v="3"/>
    <x v="0"/>
    <x v="7"/>
    <x v="1"/>
    <x v="2"/>
    <x v="50"/>
    <x v="1"/>
    <x v="58"/>
  </r>
  <r>
    <x v="61"/>
    <x v="36"/>
    <x v="0"/>
    <x v="0"/>
    <x v="6"/>
    <x v="3"/>
    <x v="1"/>
    <x v="31"/>
    <x v="2"/>
    <x v="59"/>
  </r>
  <r>
    <x v="62"/>
    <x v="37"/>
    <x v="1"/>
    <x v="0"/>
    <x v="4"/>
    <x v="2"/>
    <x v="1"/>
    <x v="51"/>
    <x v="2"/>
    <x v="60"/>
  </r>
  <r>
    <x v="63"/>
    <x v="38"/>
    <x v="2"/>
    <x v="1"/>
    <x v="4"/>
    <x v="2"/>
    <x v="1"/>
    <x v="52"/>
    <x v="1"/>
    <x v="61"/>
  </r>
  <r>
    <x v="64"/>
    <x v="38"/>
    <x v="0"/>
    <x v="0"/>
    <x v="4"/>
    <x v="2"/>
    <x v="2"/>
    <x v="53"/>
    <x v="2"/>
    <x v="62"/>
  </r>
  <r>
    <x v="65"/>
    <x v="39"/>
    <x v="2"/>
    <x v="0"/>
    <x v="1"/>
    <x v="0"/>
    <x v="0"/>
    <x v="54"/>
    <x v="3"/>
    <x v="63"/>
  </r>
  <r>
    <x v="66"/>
    <x v="40"/>
    <x v="3"/>
    <x v="0"/>
    <x v="7"/>
    <x v="1"/>
    <x v="3"/>
    <x v="55"/>
    <x v="2"/>
    <x v="64"/>
  </r>
  <r>
    <x v="67"/>
    <x v="40"/>
    <x v="4"/>
    <x v="0"/>
    <x v="3"/>
    <x v="2"/>
    <x v="1"/>
    <x v="56"/>
    <x v="2"/>
    <x v="65"/>
  </r>
  <r>
    <x v="68"/>
    <x v="40"/>
    <x v="1"/>
    <x v="1"/>
    <x v="2"/>
    <x v="1"/>
    <x v="1"/>
    <x v="28"/>
    <x v="3"/>
    <x v="66"/>
  </r>
  <r>
    <x v="69"/>
    <x v="41"/>
    <x v="0"/>
    <x v="0"/>
    <x v="3"/>
    <x v="2"/>
    <x v="1"/>
    <x v="57"/>
    <x v="2"/>
    <x v="67"/>
  </r>
  <r>
    <x v="70"/>
    <x v="41"/>
    <x v="0"/>
    <x v="0"/>
    <x v="6"/>
    <x v="3"/>
    <x v="0"/>
    <x v="58"/>
    <x v="1"/>
    <x v="68"/>
  </r>
  <r>
    <x v="71"/>
    <x v="42"/>
    <x v="3"/>
    <x v="1"/>
    <x v="4"/>
    <x v="2"/>
    <x v="3"/>
    <x v="59"/>
    <x v="2"/>
    <x v="69"/>
  </r>
  <r>
    <x v="72"/>
    <x v="43"/>
    <x v="2"/>
    <x v="1"/>
    <x v="5"/>
    <x v="3"/>
    <x v="1"/>
    <x v="33"/>
    <x v="2"/>
    <x v="70"/>
  </r>
  <r>
    <x v="73"/>
    <x v="44"/>
    <x v="4"/>
    <x v="0"/>
    <x v="7"/>
    <x v="1"/>
    <x v="1"/>
    <x v="39"/>
    <x v="2"/>
    <x v="45"/>
  </r>
  <r>
    <x v="74"/>
    <x v="45"/>
    <x v="0"/>
    <x v="0"/>
    <x v="7"/>
    <x v="1"/>
    <x v="1"/>
    <x v="37"/>
    <x v="0"/>
    <x v="71"/>
  </r>
  <r>
    <x v="75"/>
    <x v="45"/>
    <x v="3"/>
    <x v="1"/>
    <x v="4"/>
    <x v="2"/>
    <x v="2"/>
    <x v="60"/>
    <x v="2"/>
    <x v="72"/>
  </r>
  <r>
    <x v="76"/>
    <x v="46"/>
    <x v="3"/>
    <x v="0"/>
    <x v="6"/>
    <x v="3"/>
    <x v="1"/>
    <x v="61"/>
    <x v="2"/>
    <x v="73"/>
  </r>
  <r>
    <x v="77"/>
    <x v="46"/>
    <x v="2"/>
    <x v="0"/>
    <x v="7"/>
    <x v="1"/>
    <x v="2"/>
    <x v="37"/>
    <x v="1"/>
    <x v="74"/>
  </r>
  <r>
    <x v="78"/>
    <x v="47"/>
    <x v="4"/>
    <x v="1"/>
    <x v="6"/>
    <x v="3"/>
    <x v="1"/>
    <x v="62"/>
    <x v="3"/>
    <x v="75"/>
  </r>
  <r>
    <x v="79"/>
    <x v="48"/>
    <x v="4"/>
    <x v="0"/>
    <x v="1"/>
    <x v="0"/>
    <x v="3"/>
    <x v="63"/>
    <x v="2"/>
    <x v="76"/>
  </r>
  <r>
    <x v="80"/>
    <x v="48"/>
    <x v="2"/>
    <x v="1"/>
    <x v="4"/>
    <x v="2"/>
    <x v="0"/>
    <x v="64"/>
    <x v="2"/>
    <x v="77"/>
  </r>
  <r>
    <x v="81"/>
    <x v="49"/>
    <x v="1"/>
    <x v="0"/>
    <x v="6"/>
    <x v="3"/>
    <x v="3"/>
    <x v="65"/>
    <x v="2"/>
    <x v="78"/>
  </r>
  <r>
    <x v="82"/>
    <x v="49"/>
    <x v="4"/>
    <x v="1"/>
    <x v="0"/>
    <x v="0"/>
    <x v="0"/>
    <x v="66"/>
    <x v="2"/>
    <x v="79"/>
  </r>
  <r>
    <x v="83"/>
    <x v="50"/>
    <x v="1"/>
    <x v="1"/>
    <x v="7"/>
    <x v="1"/>
    <x v="2"/>
    <x v="55"/>
    <x v="2"/>
    <x v="80"/>
  </r>
  <r>
    <x v="84"/>
    <x v="51"/>
    <x v="2"/>
    <x v="1"/>
    <x v="2"/>
    <x v="1"/>
    <x v="2"/>
    <x v="67"/>
    <x v="1"/>
    <x v="81"/>
  </r>
  <r>
    <x v="85"/>
    <x v="51"/>
    <x v="1"/>
    <x v="1"/>
    <x v="6"/>
    <x v="3"/>
    <x v="1"/>
    <x v="68"/>
    <x v="1"/>
    <x v="82"/>
  </r>
  <r>
    <x v="86"/>
    <x v="52"/>
    <x v="4"/>
    <x v="0"/>
    <x v="2"/>
    <x v="1"/>
    <x v="3"/>
    <x v="69"/>
    <x v="0"/>
    <x v="83"/>
  </r>
  <r>
    <x v="87"/>
    <x v="53"/>
    <x v="4"/>
    <x v="1"/>
    <x v="7"/>
    <x v="1"/>
    <x v="2"/>
    <x v="55"/>
    <x v="2"/>
    <x v="80"/>
  </r>
  <r>
    <x v="88"/>
    <x v="53"/>
    <x v="0"/>
    <x v="0"/>
    <x v="4"/>
    <x v="2"/>
    <x v="3"/>
    <x v="70"/>
    <x v="1"/>
    <x v="84"/>
  </r>
  <r>
    <x v="89"/>
    <x v="53"/>
    <x v="0"/>
    <x v="0"/>
    <x v="4"/>
    <x v="2"/>
    <x v="1"/>
    <x v="71"/>
    <x v="2"/>
    <x v="85"/>
  </r>
  <r>
    <x v="90"/>
    <x v="54"/>
    <x v="2"/>
    <x v="1"/>
    <x v="1"/>
    <x v="0"/>
    <x v="2"/>
    <x v="72"/>
    <x v="2"/>
    <x v="86"/>
  </r>
  <r>
    <x v="91"/>
    <x v="54"/>
    <x v="4"/>
    <x v="0"/>
    <x v="7"/>
    <x v="1"/>
    <x v="2"/>
    <x v="29"/>
    <x v="2"/>
    <x v="87"/>
  </r>
  <r>
    <x v="92"/>
    <x v="54"/>
    <x v="2"/>
    <x v="1"/>
    <x v="1"/>
    <x v="0"/>
    <x v="1"/>
    <x v="73"/>
    <x v="2"/>
    <x v="88"/>
  </r>
  <r>
    <x v="93"/>
    <x v="55"/>
    <x v="1"/>
    <x v="1"/>
    <x v="7"/>
    <x v="1"/>
    <x v="2"/>
    <x v="50"/>
    <x v="3"/>
    <x v="89"/>
  </r>
  <r>
    <x v="94"/>
    <x v="55"/>
    <x v="0"/>
    <x v="1"/>
    <x v="5"/>
    <x v="3"/>
    <x v="0"/>
    <x v="19"/>
    <x v="0"/>
    <x v="90"/>
  </r>
  <r>
    <x v="95"/>
    <x v="56"/>
    <x v="2"/>
    <x v="1"/>
    <x v="5"/>
    <x v="3"/>
    <x v="1"/>
    <x v="69"/>
    <x v="2"/>
    <x v="91"/>
  </r>
  <r>
    <x v="96"/>
    <x v="56"/>
    <x v="0"/>
    <x v="1"/>
    <x v="0"/>
    <x v="0"/>
    <x v="2"/>
    <x v="74"/>
    <x v="2"/>
    <x v="92"/>
  </r>
  <r>
    <x v="97"/>
    <x v="57"/>
    <x v="3"/>
    <x v="1"/>
    <x v="0"/>
    <x v="0"/>
    <x v="1"/>
    <x v="75"/>
    <x v="0"/>
    <x v="93"/>
  </r>
  <r>
    <x v="98"/>
    <x v="58"/>
    <x v="1"/>
    <x v="1"/>
    <x v="0"/>
    <x v="0"/>
    <x v="2"/>
    <x v="76"/>
    <x v="2"/>
    <x v="94"/>
  </r>
  <r>
    <x v="99"/>
    <x v="59"/>
    <x v="1"/>
    <x v="1"/>
    <x v="6"/>
    <x v="3"/>
    <x v="1"/>
    <x v="77"/>
    <x v="2"/>
    <x v="95"/>
  </r>
  <r>
    <x v="100"/>
    <x v="59"/>
    <x v="0"/>
    <x v="1"/>
    <x v="3"/>
    <x v="2"/>
    <x v="1"/>
    <x v="78"/>
    <x v="2"/>
    <x v="96"/>
  </r>
  <r>
    <x v="101"/>
    <x v="59"/>
    <x v="4"/>
    <x v="0"/>
    <x v="6"/>
    <x v="3"/>
    <x v="1"/>
    <x v="38"/>
    <x v="2"/>
    <x v="97"/>
  </r>
  <r>
    <x v="102"/>
    <x v="60"/>
    <x v="2"/>
    <x v="1"/>
    <x v="0"/>
    <x v="0"/>
    <x v="1"/>
    <x v="79"/>
    <x v="0"/>
    <x v="98"/>
  </r>
  <r>
    <x v="103"/>
    <x v="61"/>
    <x v="1"/>
    <x v="0"/>
    <x v="5"/>
    <x v="3"/>
    <x v="1"/>
    <x v="80"/>
    <x v="1"/>
    <x v="99"/>
  </r>
  <r>
    <x v="104"/>
    <x v="62"/>
    <x v="2"/>
    <x v="1"/>
    <x v="2"/>
    <x v="1"/>
    <x v="2"/>
    <x v="46"/>
    <x v="2"/>
    <x v="100"/>
  </r>
  <r>
    <x v="105"/>
    <x v="63"/>
    <x v="3"/>
    <x v="0"/>
    <x v="6"/>
    <x v="3"/>
    <x v="2"/>
    <x v="81"/>
    <x v="2"/>
    <x v="101"/>
  </r>
  <r>
    <x v="106"/>
    <x v="63"/>
    <x v="1"/>
    <x v="1"/>
    <x v="5"/>
    <x v="3"/>
    <x v="1"/>
    <x v="6"/>
    <x v="1"/>
    <x v="102"/>
  </r>
  <r>
    <x v="107"/>
    <x v="63"/>
    <x v="0"/>
    <x v="1"/>
    <x v="6"/>
    <x v="3"/>
    <x v="1"/>
    <x v="82"/>
    <x v="0"/>
    <x v="103"/>
  </r>
  <r>
    <x v="108"/>
    <x v="63"/>
    <x v="4"/>
    <x v="0"/>
    <x v="0"/>
    <x v="0"/>
    <x v="1"/>
    <x v="83"/>
    <x v="2"/>
    <x v="104"/>
  </r>
  <r>
    <x v="109"/>
    <x v="64"/>
    <x v="0"/>
    <x v="0"/>
    <x v="0"/>
    <x v="0"/>
    <x v="2"/>
    <x v="84"/>
    <x v="2"/>
    <x v="105"/>
  </r>
  <r>
    <x v="110"/>
    <x v="64"/>
    <x v="2"/>
    <x v="0"/>
    <x v="3"/>
    <x v="2"/>
    <x v="1"/>
    <x v="85"/>
    <x v="1"/>
    <x v="106"/>
  </r>
  <r>
    <x v="111"/>
    <x v="64"/>
    <x v="2"/>
    <x v="1"/>
    <x v="3"/>
    <x v="2"/>
    <x v="2"/>
    <x v="86"/>
    <x v="0"/>
    <x v="107"/>
  </r>
  <r>
    <x v="112"/>
    <x v="65"/>
    <x v="0"/>
    <x v="1"/>
    <x v="1"/>
    <x v="0"/>
    <x v="1"/>
    <x v="87"/>
    <x v="2"/>
    <x v="108"/>
  </r>
  <r>
    <x v="113"/>
    <x v="66"/>
    <x v="1"/>
    <x v="0"/>
    <x v="6"/>
    <x v="3"/>
    <x v="2"/>
    <x v="88"/>
    <x v="2"/>
    <x v="109"/>
  </r>
  <r>
    <x v="114"/>
    <x v="67"/>
    <x v="0"/>
    <x v="1"/>
    <x v="7"/>
    <x v="1"/>
    <x v="1"/>
    <x v="37"/>
    <x v="3"/>
    <x v="110"/>
  </r>
  <r>
    <x v="115"/>
    <x v="67"/>
    <x v="0"/>
    <x v="0"/>
    <x v="1"/>
    <x v="0"/>
    <x v="1"/>
    <x v="89"/>
    <x v="3"/>
    <x v="111"/>
  </r>
  <r>
    <x v="116"/>
    <x v="68"/>
    <x v="4"/>
    <x v="1"/>
    <x v="2"/>
    <x v="1"/>
    <x v="1"/>
    <x v="6"/>
    <x v="3"/>
    <x v="112"/>
  </r>
  <r>
    <x v="117"/>
    <x v="68"/>
    <x v="4"/>
    <x v="0"/>
    <x v="7"/>
    <x v="1"/>
    <x v="1"/>
    <x v="37"/>
    <x v="2"/>
    <x v="113"/>
  </r>
  <r>
    <x v="118"/>
    <x v="69"/>
    <x v="0"/>
    <x v="1"/>
    <x v="4"/>
    <x v="2"/>
    <x v="2"/>
    <x v="90"/>
    <x v="2"/>
    <x v="114"/>
  </r>
  <r>
    <x v="119"/>
    <x v="70"/>
    <x v="1"/>
    <x v="1"/>
    <x v="7"/>
    <x v="1"/>
    <x v="2"/>
    <x v="37"/>
    <x v="2"/>
    <x v="115"/>
  </r>
  <r>
    <x v="120"/>
    <x v="71"/>
    <x v="2"/>
    <x v="0"/>
    <x v="7"/>
    <x v="1"/>
    <x v="1"/>
    <x v="37"/>
    <x v="2"/>
    <x v="113"/>
  </r>
  <r>
    <x v="121"/>
    <x v="72"/>
    <x v="1"/>
    <x v="1"/>
    <x v="3"/>
    <x v="2"/>
    <x v="2"/>
    <x v="91"/>
    <x v="2"/>
    <x v="116"/>
  </r>
  <r>
    <x v="122"/>
    <x v="72"/>
    <x v="2"/>
    <x v="1"/>
    <x v="0"/>
    <x v="0"/>
    <x v="1"/>
    <x v="92"/>
    <x v="2"/>
    <x v="117"/>
  </r>
  <r>
    <x v="123"/>
    <x v="73"/>
    <x v="2"/>
    <x v="1"/>
    <x v="3"/>
    <x v="2"/>
    <x v="0"/>
    <x v="93"/>
    <x v="2"/>
    <x v="118"/>
  </r>
  <r>
    <x v="124"/>
    <x v="74"/>
    <x v="2"/>
    <x v="1"/>
    <x v="7"/>
    <x v="1"/>
    <x v="3"/>
    <x v="37"/>
    <x v="2"/>
    <x v="119"/>
  </r>
  <r>
    <x v="125"/>
    <x v="75"/>
    <x v="0"/>
    <x v="1"/>
    <x v="0"/>
    <x v="0"/>
    <x v="0"/>
    <x v="94"/>
    <x v="0"/>
    <x v="120"/>
  </r>
  <r>
    <x v="126"/>
    <x v="75"/>
    <x v="1"/>
    <x v="1"/>
    <x v="7"/>
    <x v="1"/>
    <x v="2"/>
    <x v="39"/>
    <x v="0"/>
    <x v="71"/>
  </r>
  <r>
    <x v="127"/>
    <x v="76"/>
    <x v="3"/>
    <x v="1"/>
    <x v="0"/>
    <x v="0"/>
    <x v="2"/>
    <x v="95"/>
    <x v="2"/>
    <x v="121"/>
  </r>
  <r>
    <x v="128"/>
    <x v="77"/>
    <x v="2"/>
    <x v="0"/>
    <x v="4"/>
    <x v="2"/>
    <x v="1"/>
    <x v="96"/>
    <x v="1"/>
    <x v="122"/>
  </r>
  <r>
    <x v="129"/>
    <x v="77"/>
    <x v="0"/>
    <x v="1"/>
    <x v="2"/>
    <x v="1"/>
    <x v="3"/>
    <x v="97"/>
    <x v="2"/>
    <x v="123"/>
  </r>
  <r>
    <x v="130"/>
    <x v="78"/>
    <x v="4"/>
    <x v="1"/>
    <x v="5"/>
    <x v="3"/>
    <x v="0"/>
    <x v="18"/>
    <x v="3"/>
    <x v="124"/>
  </r>
  <r>
    <x v="131"/>
    <x v="78"/>
    <x v="3"/>
    <x v="1"/>
    <x v="0"/>
    <x v="0"/>
    <x v="2"/>
    <x v="98"/>
    <x v="3"/>
    <x v="125"/>
  </r>
  <r>
    <x v="132"/>
    <x v="79"/>
    <x v="3"/>
    <x v="1"/>
    <x v="7"/>
    <x v="1"/>
    <x v="0"/>
    <x v="55"/>
    <x v="3"/>
    <x v="126"/>
  </r>
  <r>
    <x v="133"/>
    <x v="79"/>
    <x v="4"/>
    <x v="1"/>
    <x v="5"/>
    <x v="3"/>
    <x v="2"/>
    <x v="99"/>
    <x v="2"/>
    <x v="127"/>
  </r>
  <r>
    <x v="134"/>
    <x v="79"/>
    <x v="1"/>
    <x v="1"/>
    <x v="6"/>
    <x v="3"/>
    <x v="1"/>
    <x v="100"/>
    <x v="1"/>
    <x v="128"/>
  </r>
  <r>
    <x v="135"/>
    <x v="80"/>
    <x v="4"/>
    <x v="1"/>
    <x v="2"/>
    <x v="1"/>
    <x v="1"/>
    <x v="67"/>
    <x v="2"/>
    <x v="129"/>
  </r>
  <r>
    <x v="136"/>
    <x v="80"/>
    <x v="3"/>
    <x v="1"/>
    <x v="4"/>
    <x v="2"/>
    <x v="1"/>
    <x v="101"/>
    <x v="2"/>
    <x v="130"/>
  </r>
  <r>
    <x v="137"/>
    <x v="80"/>
    <x v="1"/>
    <x v="1"/>
    <x v="3"/>
    <x v="2"/>
    <x v="0"/>
    <x v="102"/>
    <x v="2"/>
    <x v="131"/>
  </r>
  <r>
    <x v="138"/>
    <x v="81"/>
    <x v="1"/>
    <x v="1"/>
    <x v="5"/>
    <x v="3"/>
    <x v="1"/>
    <x v="80"/>
    <x v="2"/>
    <x v="132"/>
  </r>
  <r>
    <x v="139"/>
    <x v="81"/>
    <x v="0"/>
    <x v="1"/>
    <x v="3"/>
    <x v="2"/>
    <x v="1"/>
    <x v="103"/>
    <x v="1"/>
    <x v="133"/>
  </r>
  <r>
    <x v="140"/>
    <x v="82"/>
    <x v="2"/>
    <x v="0"/>
    <x v="1"/>
    <x v="0"/>
    <x v="0"/>
    <x v="104"/>
    <x v="2"/>
    <x v="134"/>
  </r>
  <r>
    <x v="141"/>
    <x v="82"/>
    <x v="4"/>
    <x v="1"/>
    <x v="6"/>
    <x v="3"/>
    <x v="1"/>
    <x v="105"/>
    <x v="1"/>
    <x v="135"/>
  </r>
  <r>
    <x v="142"/>
    <x v="83"/>
    <x v="3"/>
    <x v="1"/>
    <x v="0"/>
    <x v="0"/>
    <x v="1"/>
    <x v="106"/>
    <x v="2"/>
    <x v="136"/>
  </r>
  <r>
    <x v="143"/>
    <x v="83"/>
    <x v="2"/>
    <x v="1"/>
    <x v="4"/>
    <x v="2"/>
    <x v="2"/>
    <x v="11"/>
    <x v="2"/>
    <x v="137"/>
  </r>
  <r>
    <x v="144"/>
    <x v="84"/>
    <x v="1"/>
    <x v="1"/>
    <x v="3"/>
    <x v="2"/>
    <x v="2"/>
    <x v="107"/>
    <x v="2"/>
    <x v="138"/>
  </r>
  <r>
    <x v="145"/>
    <x v="84"/>
    <x v="1"/>
    <x v="1"/>
    <x v="4"/>
    <x v="2"/>
    <x v="2"/>
    <x v="108"/>
    <x v="2"/>
    <x v="139"/>
  </r>
  <r>
    <x v="146"/>
    <x v="85"/>
    <x v="2"/>
    <x v="1"/>
    <x v="5"/>
    <x v="3"/>
    <x v="1"/>
    <x v="109"/>
    <x v="1"/>
    <x v="140"/>
  </r>
  <r>
    <x v="147"/>
    <x v="86"/>
    <x v="4"/>
    <x v="0"/>
    <x v="7"/>
    <x v="1"/>
    <x v="2"/>
    <x v="29"/>
    <x v="0"/>
    <x v="141"/>
  </r>
  <r>
    <x v="148"/>
    <x v="87"/>
    <x v="3"/>
    <x v="0"/>
    <x v="6"/>
    <x v="3"/>
    <x v="1"/>
    <x v="110"/>
    <x v="2"/>
    <x v="142"/>
  </r>
  <r>
    <x v="149"/>
    <x v="88"/>
    <x v="4"/>
    <x v="1"/>
    <x v="4"/>
    <x v="2"/>
    <x v="2"/>
    <x v="111"/>
    <x v="2"/>
    <x v="143"/>
  </r>
  <r>
    <x v="150"/>
    <x v="89"/>
    <x v="1"/>
    <x v="1"/>
    <x v="5"/>
    <x v="3"/>
    <x v="2"/>
    <x v="46"/>
    <x v="2"/>
    <x v="100"/>
  </r>
  <r>
    <x v="151"/>
    <x v="90"/>
    <x v="1"/>
    <x v="1"/>
    <x v="1"/>
    <x v="0"/>
    <x v="0"/>
    <x v="112"/>
    <x v="2"/>
    <x v="144"/>
  </r>
  <r>
    <x v="152"/>
    <x v="90"/>
    <x v="2"/>
    <x v="1"/>
    <x v="3"/>
    <x v="2"/>
    <x v="1"/>
    <x v="113"/>
    <x v="1"/>
    <x v="145"/>
  </r>
  <r>
    <x v="153"/>
    <x v="91"/>
    <x v="0"/>
    <x v="1"/>
    <x v="1"/>
    <x v="0"/>
    <x v="2"/>
    <x v="114"/>
    <x v="3"/>
    <x v="146"/>
  </r>
  <r>
    <x v="154"/>
    <x v="91"/>
    <x v="0"/>
    <x v="1"/>
    <x v="0"/>
    <x v="0"/>
    <x v="1"/>
    <x v="115"/>
    <x v="1"/>
    <x v="147"/>
  </r>
  <r>
    <x v="155"/>
    <x v="92"/>
    <x v="3"/>
    <x v="0"/>
    <x v="0"/>
    <x v="0"/>
    <x v="1"/>
    <x v="116"/>
    <x v="3"/>
    <x v="148"/>
  </r>
  <r>
    <x v="156"/>
    <x v="93"/>
    <x v="1"/>
    <x v="0"/>
    <x v="2"/>
    <x v="1"/>
    <x v="3"/>
    <x v="6"/>
    <x v="2"/>
    <x v="149"/>
  </r>
  <r>
    <x v="157"/>
    <x v="94"/>
    <x v="2"/>
    <x v="0"/>
    <x v="3"/>
    <x v="2"/>
    <x v="0"/>
    <x v="117"/>
    <x v="2"/>
    <x v="150"/>
  </r>
  <r>
    <x v="158"/>
    <x v="95"/>
    <x v="3"/>
    <x v="1"/>
    <x v="5"/>
    <x v="3"/>
    <x v="1"/>
    <x v="118"/>
    <x v="1"/>
    <x v="151"/>
  </r>
  <r>
    <x v="159"/>
    <x v="96"/>
    <x v="4"/>
    <x v="0"/>
    <x v="2"/>
    <x v="1"/>
    <x v="1"/>
    <x v="33"/>
    <x v="3"/>
    <x v="152"/>
  </r>
  <r>
    <x v="160"/>
    <x v="96"/>
    <x v="3"/>
    <x v="1"/>
    <x v="3"/>
    <x v="2"/>
    <x v="1"/>
    <x v="119"/>
    <x v="2"/>
    <x v="153"/>
  </r>
  <r>
    <x v="161"/>
    <x v="97"/>
    <x v="0"/>
    <x v="1"/>
    <x v="5"/>
    <x v="3"/>
    <x v="3"/>
    <x v="4"/>
    <x v="1"/>
    <x v="154"/>
  </r>
  <r>
    <x v="162"/>
    <x v="98"/>
    <x v="2"/>
    <x v="0"/>
    <x v="7"/>
    <x v="1"/>
    <x v="2"/>
    <x v="39"/>
    <x v="3"/>
    <x v="110"/>
  </r>
  <r>
    <x v="163"/>
    <x v="98"/>
    <x v="3"/>
    <x v="1"/>
    <x v="6"/>
    <x v="3"/>
    <x v="1"/>
    <x v="62"/>
    <x v="1"/>
    <x v="155"/>
  </r>
  <r>
    <x v="164"/>
    <x v="99"/>
    <x v="1"/>
    <x v="1"/>
    <x v="1"/>
    <x v="0"/>
    <x v="1"/>
    <x v="120"/>
    <x v="2"/>
    <x v="156"/>
  </r>
  <r>
    <x v="165"/>
    <x v="99"/>
    <x v="4"/>
    <x v="1"/>
    <x v="3"/>
    <x v="2"/>
    <x v="1"/>
    <x v="121"/>
    <x v="2"/>
    <x v="157"/>
  </r>
  <r>
    <x v="166"/>
    <x v="100"/>
    <x v="3"/>
    <x v="1"/>
    <x v="7"/>
    <x v="1"/>
    <x v="2"/>
    <x v="122"/>
    <x v="2"/>
    <x v="32"/>
  </r>
  <r>
    <x v="167"/>
    <x v="101"/>
    <x v="4"/>
    <x v="0"/>
    <x v="4"/>
    <x v="2"/>
    <x v="1"/>
    <x v="123"/>
    <x v="2"/>
    <x v="158"/>
  </r>
  <r>
    <x v="168"/>
    <x v="102"/>
    <x v="3"/>
    <x v="0"/>
    <x v="4"/>
    <x v="2"/>
    <x v="1"/>
    <x v="124"/>
    <x v="2"/>
    <x v="159"/>
  </r>
  <r>
    <x v="169"/>
    <x v="103"/>
    <x v="0"/>
    <x v="0"/>
    <x v="4"/>
    <x v="2"/>
    <x v="1"/>
    <x v="125"/>
    <x v="0"/>
    <x v="160"/>
  </r>
  <r>
    <x v="170"/>
    <x v="103"/>
    <x v="2"/>
    <x v="1"/>
    <x v="4"/>
    <x v="2"/>
    <x v="1"/>
    <x v="126"/>
    <x v="0"/>
    <x v="161"/>
  </r>
  <r>
    <x v="171"/>
    <x v="104"/>
    <x v="2"/>
    <x v="1"/>
    <x v="2"/>
    <x v="1"/>
    <x v="1"/>
    <x v="37"/>
    <x v="1"/>
    <x v="162"/>
  </r>
  <r>
    <x v="172"/>
    <x v="105"/>
    <x v="2"/>
    <x v="0"/>
    <x v="4"/>
    <x v="2"/>
    <x v="0"/>
    <x v="127"/>
    <x v="3"/>
    <x v="163"/>
  </r>
  <r>
    <x v="173"/>
    <x v="105"/>
    <x v="4"/>
    <x v="1"/>
    <x v="4"/>
    <x v="2"/>
    <x v="1"/>
    <x v="128"/>
    <x v="2"/>
    <x v="164"/>
  </r>
  <r>
    <x v="174"/>
    <x v="105"/>
    <x v="4"/>
    <x v="1"/>
    <x v="0"/>
    <x v="0"/>
    <x v="1"/>
    <x v="129"/>
    <x v="1"/>
    <x v="165"/>
  </r>
  <r>
    <x v="175"/>
    <x v="106"/>
    <x v="3"/>
    <x v="1"/>
    <x v="6"/>
    <x v="3"/>
    <x v="1"/>
    <x v="130"/>
    <x v="0"/>
    <x v="166"/>
  </r>
  <r>
    <x v="176"/>
    <x v="106"/>
    <x v="2"/>
    <x v="0"/>
    <x v="6"/>
    <x v="3"/>
    <x v="2"/>
    <x v="131"/>
    <x v="0"/>
    <x v="167"/>
  </r>
  <r>
    <x v="177"/>
    <x v="106"/>
    <x v="3"/>
    <x v="1"/>
    <x v="2"/>
    <x v="1"/>
    <x v="0"/>
    <x v="37"/>
    <x v="2"/>
    <x v="168"/>
  </r>
  <r>
    <x v="178"/>
    <x v="107"/>
    <x v="3"/>
    <x v="1"/>
    <x v="5"/>
    <x v="3"/>
    <x v="0"/>
    <x v="6"/>
    <x v="2"/>
    <x v="169"/>
  </r>
  <r>
    <x v="179"/>
    <x v="108"/>
    <x v="3"/>
    <x v="1"/>
    <x v="2"/>
    <x v="1"/>
    <x v="0"/>
    <x v="4"/>
    <x v="2"/>
    <x v="170"/>
  </r>
  <r>
    <x v="180"/>
    <x v="109"/>
    <x v="5"/>
    <x v="2"/>
    <x v="8"/>
    <x v="4"/>
    <x v="4"/>
    <x v="132"/>
    <x v="4"/>
    <x v="1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GA11" firstHeaderRow="1" firstDataRow="2" firstDataCol="1"/>
  <pivotFields count="3">
    <pivotField axis="axisCol" compact="0" showAll="0">
      <items count="182">
        <item x="106"/>
        <item x="179"/>
        <item x="97"/>
        <item x="17"/>
        <item x="113"/>
        <item x="77"/>
        <item x="22"/>
        <item x="108"/>
        <item x="123"/>
        <item x="80"/>
        <item x="89"/>
        <item x="119"/>
        <item x="103"/>
        <item x="111"/>
        <item x="154"/>
        <item x="133"/>
        <item x="150"/>
        <item x="58"/>
        <item x="1"/>
        <item x="87"/>
        <item x="158"/>
        <item x="39"/>
        <item x="131"/>
        <item x="20"/>
        <item x="161"/>
        <item x="62"/>
        <item x="23"/>
        <item x="91"/>
        <item x="50"/>
        <item x="63"/>
        <item x="169"/>
        <item x="14"/>
        <item x="176"/>
        <item x="52"/>
        <item x="115"/>
        <item x="61"/>
        <item x="71"/>
        <item x="132"/>
        <item x="54"/>
        <item x="141"/>
        <item x="21"/>
        <item x="78"/>
        <item x="168"/>
        <item x="19"/>
        <item x="136"/>
        <item x="92"/>
        <item x="65"/>
        <item x="13"/>
        <item x="8"/>
        <item x="93"/>
        <item x="57"/>
        <item x="130"/>
        <item x="85"/>
        <item x="95"/>
        <item x="117"/>
        <item x="172"/>
        <item x="7"/>
        <item x="177"/>
        <item x="35"/>
        <item x="81"/>
        <item x="166"/>
        <item x="51"/>
        <item x="109"/>
        <item x="135"/>
        <item x="2"/>
        <item x="139"/>
        <item x="60"/>
        <item x="112"/>
        <item x="4"/>
        <item x="59"/>
        <item x="149"/>
        <item x="45"/>
        <item x="162"/>
        <item x="12"/>
        <item x="98"/>
        <item x="48"/>
        <item x="16"/>
        <item x="40"/>
        <item x="83"/>
        <item x="116"/>
        <item x="56"/>
        <item x="24"/>
        <item x="155"/>
        <item x="125"/>
        <item x="42"/>
        <item x="157"/>
        <item x="15"/>
        <item x="47"/>
        <item x="72"/>
        <item x="90"/>
        <item x="75"/>
        <item x="9"/>
        <item x="88"/>
        <item x="128"/>
        <item x="143"/>
        <item x="70"/>
        <item x="146"/>
        <item x="82"/>
        <item x="142"/>
        <item x="165"/>
        <item x="164"/>
        <item x="33"/>
        <item x="124"/>
        <item x="6"/>
        <item x="41"/>
        <item x="28"/>
        <item x="140"/>
        <item x="76"/>
        <item x="10"/>
        <item x="163"/>
        <item x="34"/>
        <item x="49"/>
        <item x="152"/>
        <item x="66"/>
        <item x="38"/>
        <item x="102"/>
        <item x="174"/>
        <item x="110"/>
        <item x="36"/>
        <item x="104"/>
        <item x="175"/>
        <item x="134"/>
        <item x="0"/>
        <item x="5"/>
        <item x="147"/>
        <item x="107"/>
        <item x="25"/>
        <item x="145"/>
        <item x="18"/>
        <item x="94"/>
        <item x="43"/>
        <item x="126"/>
        <item x="178"/>
        <item x="69"/>
        <item x="99"/>
        <item x="55"/>
        <item x="100"/>
        <item x="137"/>
        <item x="151"/>
        <item x="148"/>
        <item x="171"/>
        <item x="31"/>
        <item x="37"/>
        <item x="11"/>
        <item x="160"/>
        <item x="74"/>
        <item x="86"/>
        <item x="30"/>
        <item x="73"/>
        <item x="170"/>
        <item x="46"/>
        <item x="67"/>
        <item x="138"/>
        <item x="29"/>
        <item x="27"/>
        <item x="114"/>
        <item x="44"/>
        <item x="84"/>
        <item x="32"/>
        <item x="79"/>
        <item x="127"/>
        <item x="96"/>
        <item x="129"/>
        <item x="122"/>
        <item x="26"/>
        <item x="121"/>
        <item x="118"/>
        <item x="3"/>
        <item x="105"/>
        <item x="156"/>
        <item x="144"/>
        <item x="68"/>
        <item x="167"/>
        <item x="53"/>
        <item x="173"/>
        <item x="153"/>
        <item x="64"/>
        <item x="120"/>
        <item x="159"/>
        <item x="101"/>
        <item x="180"/>
        <item t="default"/>
      </items>
    </pivotField>
    <pivotField compact="0" showAll="0"/>
    <pivotField axis="axisRow" compact="0" showAll="0">
      <items count="7">
        <item x="2"/>
        <item x="3"/>
        <item x="1"/>
        <item x="0"/>
        <item x="4"/>
        <item x="5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18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 t="grand">
      <x/>
    </i>
  </colItem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:B12" firstHeaderRow="1" firstDataRow="1" firstDataCol="1"/>
  <pivotFields count="3">
    <pivotField dataField="1" compact="0" showAll="0">
      <items count="173">
        <item x="45"/>
        <item x="34"/>
        <item x="32"/>
        <item x="162"/>
        <item x="110"/>
        <item x="71"/>
        <item x="113"/>
        <item x="58"/>
        <item x="89"/>
        <item x="66"/>
        <item x="129"/>
        <item x="141"/>
        <item x="152"/>
        <item x="87"/>
        <item x="70"/>
        <item x="29"/>
        <item x="74"/>
        <item x="80"/>
        <item x="20"/>
        <item x="115"/>
        <item x="102"/>
        <item x="81"/>
        <item x="112"/>
        <item x="91"/>
        <item x="54"/>
        <item x="43"/>
        <item x="64"/>
        <item x="31"/>
        <item x="119"/>
        <item x="140"/>
        <item x="126"/>
        <item x="37"/>
        <item x="99"/>
        <item x="151"/>
        <item x="132"/>
        <item x="168"/>
        <item x="127"/>
        <item x="154"/>
        <item x="6"/>
        <item x="100"/>
        <item x="30"/>
        <item x="4"/>
        <item x="123"/>
        <item x="83"/>
        <item x="170"/>
        <item x="90"/>
        <item x="149"/>
        <item x="82"/>
        <item x="169"/>
        <item x="49"/>
        <item x="135"/>
        <item x="160"/>
        <item x="142"/>
        <item x="166"/>
        <item x="155"/>
        <item x="124"/>
        <item x="95"/>
        <item x="75"/>
        <item x="19"/>
        <item x="44"/>
        <item x="73"/>
        <item x="128"/>
        <item x="61"/>
        <item x="103"/>
        <item x="122"/>
        <item x="59"/>
        <item x="97"/>
        <item x="109"/>
        <item x="21"/>
        <item x="48"/>
        <item x="9"/>
        <item x="85"/>
        <item x="114"/>
        <item x="130"/>
        <item x="164"/>
        <item x="23"/>
        <item x="60"/>
        <item x="161"/>
        <item x="52"/>
        <item x="139"/>
        <item x="159"/>
        <item x="72"/>
        <item x="158"/>
        <item x="62"/>
        <item x="101"/>
        <item x="35"/>
        <item x="147"/>
        <item x="38"/>
        <item x="28"/>
        <item x="167"/>
        <item x="69"/>
        <item x="163"/>
        <item x="84"/>
        <item x="143"/>
        <item x="11"/>
        <item x="137"/>
        <item x="111"/>
        <item x="78"/>
        <item x="136"/>
        <item x="53"/>
        <item x="36"/>
        <item x="165"/>
        <item x="51"/>
        <item x="56"/>
        <item x="148"/>
        <item x="42"/>
        <item x="8"/>
        <item x="104"/>
        <item x="1"/>
        <item x="10"/>
        <item x="68"/>
        <item x="24"/>
        <item x="98"/>
        <item x="40"/>
        <item x="39"/>
        <item x="50"/>
        <item x="117"/>
        <item x="93"/>
        <item x="77"/>
        <item x="57"/>
        <item x="25"/>
        <item x="156"/>
        <item x="108"/>
        <item x="3"/>
        <item x="88"/>
        <item x="18"/>
        <item x="94"/>
        <item x="15"/>
        <item x="105"/>
        <item x="17"/>
        <item x="121"/>
        <item x="12"/>
        <item x="86"/>
        <item x="14"/>
        <item x="125"/>
        <item x="92"/>
        <item x="146"/>
        <item x="41"/>
        <item x="46"/>
        <item x="120"/>
        <item x="0"/>
        <item x="7"/>
        <item x="2"/>
        <item x="76"/>
        <item x="63"/>
        <item x="27"/>
        <item x="79"/>
        <item x="145"/>
        <item x="133"/>
        <item x="22"/>
        <item x="33"/>
        <item x="16"/>
        <item x="134"/>
        <item x="157"/>
        <item x="106"/>
        <item x="153"/>
        <item x="13"/>
        <item x="144"/>
        <item x="67"/>
        <item x="26"/>
        <item x="47"/>
        <item x="96"/>
        <item x="55"/>
        <item x="65"/>
        <item x="138"/>
        <item x="116"/>
        <item x="107"/>
        <item x="5"/>
        <item x="150"/>
        <item x="118"/>
        <item x="131"/>
        <item x="171"/>
        <item t="default"/>
      </items>
    </pivotField>
    <pivotField compact="0" showAll="0">
      <items count="52">
        <item x="19"/>
        <item x="25"/>
        <item x="16"/>
        <item x="11"/>
        <item x="13"/>
        <item x="46"/>
        <item x="8"/>
        <item x="37"/>
        <item x="0"/>
        <item x="3"/>
        <item x="7"/>
        <item x="32"/>
        <item x="39"/>
        <item x="4"/>
        <item x="40"/>
        <item x="45"/>
        <item x="41"/>
        <item x="34"/>
        <item x="30"/>
        <item x="22"/>
        <item x="21"/>
        <item x="20"/>
        <item x="12"/>
        <item x="42"/>
        <item x="49"/>
        <item x="47"/>
        <item x="33"/>
        <item x="43"/>
        <item x="18"/>
        <item x="27"/>
        <item x="14"/>
        <item x="1"/>
        <item x="10"/>
        <item x="48"/>
        <item x="17"/>
        <item x="15"/>
        <item x="24"/>
        <item x="6"/>
        <item x="44"/>
        <item x="23"/>
        <item x="29"/>
        <item x="31"/>
        <item x="38"/>
        <item x="35"/>
        <item x="26"/>
        <item x="36"/>
        <item x="5"/>
        <item x="2"/>
        <item x="9"/>
        <item x="28"/>
        <item x="50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_EGP" fld="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0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21:G129" firstHeaderRow="1" firstDataRow="2" firstDataCol="1"/>
  <pivotFields count="8">
    <pivotField axis="axisRow" compact="0" showAll="0">
      <items count="7">
        <item x="2"/>
        <item x="3"/>
        <item x="1"/>
        <item x="0"/>
        <item x="4"/>
        <item x="5"/>
        <item t="default"/>
      </items>
    </pivotField>
    <pivotField compact="0" showAll="0"/>
    <pivotField compact="0" showAll="0"/>
    <pivotField axis="axisCol" compact="0" showAll="0">
      <items count="6">
        <item x="3"/>
        <item x="2"/>
        <item x="0"/>
        <item x="1"/>
        <item x="4"/>
        <item t="default"/>
      </items>
    </pivotField>
    <pivotField compact="0" showAll="0"/>
    <pivotField compact="0" showAll="0"/>
    <pivotField compact="0" showAll="0"/>
    <pivotField dataField="1" compact="0" showAll="0">
      <items count="173">
        <item x="45"/>
        <item x="34"/>
        <item x="32"/>
        <item x="162"/>
        <item x="110"/>
        <item x="71"/>
        <item x="113"/>
        <item x="58"/>
        <item x="89"/>
        <item x="66"/>
        <item x="129"/>
        <item x="141"/>
        <item x="152"/>
        <item x="87"/>
        <item x="70"/>
        <item x="29"/>
        <item x="74"/>
        <item x="80"/>
        <item x="20"/>
        <item x="115"/>
        <item x="102"/>
        <item x="81"/>
        <item x="112"/>
        <item x="91"/>
        <item x="54"/>
        <item x="43"/>
        <item x="64"/>
        <item x="31"/>
        <item x="119"/>
        <item x="140"/>
        <item x="126"/>
        <item x="37"/>
        <item x="99"/>
        <item x="151"/>
        <item x="132"/>
        <item x="168"/>
        <item x="127"/>
        <item x="154"/>
        <item x="6"/>
        <item x="100"/>
        <item x="30"/>
        <item x="4"/>
        <item x="123"/>
        <item x="83"/>
        <item x="170"/>
        <item x="90"/>
        <item x="149"/>
        <item x="82"/>
        <item x="169"/>
        <item x="49"/>
        <item x="135"/>
        <item x="160"/>
        <item x="142"/>
        <item x="166"/>
        <item x="155"/>
        <item x="124"/>
        <item x="95"/>
        <item x="75"/>
        <item x="19"/>
        <item x="44"/>
        <item x="73"/>
        <item x="128"/>
        <item x="61"/>
        <item x="103"/>
        <item x="122"/>
        <item x="59"/>
        <item x="97"/>
        <item x="109"/>
        <item x="21"/>
        <item x="48"/>
        <item x="9"/>
        <item x="85"/>
        <item x="114"/>
        <item x="130"/>
        <item x="164"/>
        <item x="23"/>
        <item x="60"/>
        <item x="161"/>
        <item x="52"/>
        <item x="139"/>
        <item x="159"/>
        <item x="72"/>
        <item x="158"/>
        <item x="62"/>
        <item x="101"/>
        <item x="35"/>
        <item x="147"/>
        <item x="38"/>
        <item x="28"/>
        <item x="167"/>
        <item x="69"/>
        <item x="163"/>
        <item x="84"/>
        <item x="143"/>
        <item x="11"/>
        <item x="137"/>
        <item x="111"/>
        <item x="78"/>
        <item x="136"/>
        <item x="53"/>
        <item x="36"/>
        <item x="165"/>
        <item x="51"/>
        <item x="56"/>
        <item x="148"/>
        <item x="42"/>
        <item x="8"/>
        <item x="104"/>
        <item x="1"/>
        <item x="10"/>
        <item x="68"/>
        <item x="24"/>
        <item x="98"/>
        <item x="40"/>
        <item x="39"/>
        <item x="50"/>
        <item x="117"/>
        <item x="93"/>
        <item x="77"/>
        <item x="57"/>
        <item x="25"/>
        <item x="156"/>
        <item x="108"/>
        <item x="3"/>
        <item x="88"/>
        <item x="18"/>
        <item x="94"/>
        <item x="15"/>
        <item x="105"/>
        <item x="17"/>
        <item x="121"/>
        <item x="12"/>
        <item x="86"/>
        <item x="14"/>
        <item x="125"/>
        <item x="92"/>
        <item x="146"/>
        <item x="41"/>
        <item x="46"/>
        <item x="120"/>
        <item x="0"/>
        <item x="7"/>
        <item x="2"/>
        <item x="76"/>
        <item x="63"/>
        <item x="27"/>
        <item x="79"/>
        <item x="145"/>
        <item x="133"/>
        <item x="22"/>
        <item x="33"/>
        <item x="16"/>
        <item x="134"/>
        <item x="157"/>
        <item x="106"/>
        <item x="153"/>
        <item x="13"/>
        <item x="144"/>
        <item x="67"/>
        <item x="26"/>
        <item x="47"/>
        <item x="96"/>
        <item x="55"/>
        <item x="65"/>
        <item x="138"/>
        <item x="116"/>
        <item x="107"/>
        <item x="5"/>
        <item x="150"/>
        <item x="118"/>
        <item x="131"/>
        <item x="171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_EGP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17:B24" firstHeaderRow="1" firstDataRow="1" firstDataCol="1"/>
  <pivotFields count="8">
    <pivotField axis="axisRow" compact="0" showAll="0">
      <items count="7">
        <item x="2"/>
        <item x="3"/>
        <item x="1"/>
        <item x="0"/>
        <item x="4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73">
        <item x="45"/>
        <item x="34"/>
        <item x="32"/>
        <item x="162"/>
        <item x="110"/>
        <item x="71"/>
        <item x="113"/>
        <item x="58"/>
        <item x="89"/>
        <item x="66"/>
        <item x="129"/>
        <item x="141"/>
        <item x="152"/>
        <item x="87"/>
        <item x="70"/>
        <item x="29"/>
        <item x="74"/>
        <item x="80"/>
        <item x="20"/>
        <item x="115"/>
        <item x="102"/>
        <item x="81"/>
        <item x="112"/>
        <item x="91"/>
        <item x="54"/>
        <item x="43"/>
        <item x="64"/>
        <item x="31"/>
        <item x="119"/>
        <item x="140"/>
        <item x="126"/>
        <item x="37"/>
        <item x="99"/>
        <item x="151"/>
        <item x="132"/>
        <item x="168"/>
        <item x="127"/>
        <item x="154"/>
        <item x="6"/>
        <item x="100"/>
        <item x="30"/>
        <item x="4"/>
        <item x="123"/>
        <item x="83"/>
        <item x="170"/>
        <item x="90"/>
        <item x="149"/>
        <item x="82"/>
        <item x="169"/>
        <item x="49"/>
        <item x="135"/>
        <item x="160"/>
        <item x="142"/>
        <item x="166"/>
        <item x="155"/>
        <item x="124"/>
        <item x="95"/>
        <item x="75"/>
        <item x="19"/>
        <item x="44"/>
        <item x="73"/>
        <item x="128"/>
        <item x="61"/>
        <item x="103"/>
        <item x="122"/>
        <item x="59"/>
        <item x="97"/>
        <item x="109"/>
        <item x="21"/>
        <item x="48"/>
        <item x="9"/>
        <item x="85"/>
        <item x="114"/>
        <item x="130"/>
        <item x="164"/>
        <item x="23"/>
        <item x="60"/>
        <item x="161"/>
        <item x="52"/>
        <item x="139"/>
        <item x="159"/>
        <item x="72"/>
        <item x="158"/>
        <item x="62"/>
        <item x="101"/>
        <item x="35"/>
        <item x="147"/>
        <item x="38"/>
        <item x="28"/>
        <item x="167"/>
        <item x="69"/>
        <item x="163"/>
        <item x="84"/>
        <item x="143"/>
        <item x="11"/>
        <item x="137"/>
        <item x="111"/>
        <item x="78"/>
        <item x="136"/>
        <item x="53"/>
        <item x="36"/>
        <item x="165"/>
        <item x="51"/>
        <item x="56"/>
        <item x="148"/>
        <item x="42"/>
        <item x="8"/>
        <item x="104"/>
        <item x="1"/>
        <item x="10"/>
        <item x="68"/>
        <item x="24"/>
        <item x="98"/>
        <item x="40"/>
        <item x="39"/>
        <item x="50"/>
        <item x="117"/>
        <item x="93"/>
        <item x="77"/>
        <item x="57"/>
        <item x="25"/>
        <item x="156"/>
        <item x="108"/>
        <item x="3"/>
        <item x="88"/>
        <item x="18"/>
        <item x="94"/>
        <item x="15"/>
        <item x="105"/>
        <item x="17"/>
        <item x="121"/>
        <item x="12"/>
        <item x="86"/>
        <item x="14"/>
        <item x="125"/>
        <item x="92"/>
        <item x="146"/>
        <item x="41"/>
        <item x="46"/>
        <item x="120"/>
        <item x="0"/>
        <item x="7"/>
        <item x="2"/>
        <item x="76"/>
        <item x="63"/>
        <item x="27"/>
        <item x="79"/>
        <item x="145"/>
        <item x="133"/>
        <item x="22"/>
        <item x="33"/>
        <item x="16"/>
        <item x="134"/>
        <item x="157"/>
        <item x="106"/>
        <item x="153"/>
        <item x="13"/>
        <item x="144"/>
        <item x="67"/>
        <item x="26"/>
        <item x="47"/>
        <item x="96"/>
        <item x="55"/>
        <item x="65"/>
        <item x="138"/>
        <item x="116"/>
        <item x="107"/>
        <item x="5"/>
        <item x="150"/>
        <item x="118"/>
        <item x="131"/>
        <item x="171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_EGP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9:B35" firstHeaderRow="1" firstDataRow="1" firstDataCol="1"/>
  <pivotFields count="5">
    <pivotField axis="axisRow" compact="0" showAll="0">
      <items count="6">
        <item x="3"/>
        <item x="2"/>
        <item x="0"/>
        <item x="1"/>
        <item x="4"/>
        <item t="default"/>
      </items>
    </pivotField>
    <pivotField compact="0" showAll="0"/>
    <pivotField compact="0" showAll="0"/>
    <pivotField compact="0" showAll="0"/>
    <pivotField dataField="1" compact="0" showAll="0">
      <items count="173">
        <item x="45"/>
        <item x="34"/>
        <item x="32"/>
        <item x="162"/>
        <item x="110"/>
        <item x="71"/>
        <item x="113"/>
        <item x="58"/>
        <item x="89"/>
        <item x="66"/>
        <item x="129"/>
        <item x="141"/>
        <item x="152"/>
        <item x="87"/>
        <item x="70"/>
        <item x="29"/>
        <item x="74"/>
        <item x="80"/>
        <item x="20"/>
        <item x="115"/>
        <item x="102"/>
        <item x="81"/>
        <item x="112"/>
        <item x="91"/>
        <item x="54"/>
        <item x="43"/>
        <item x="64"/>
        <item x="31"/>
        <item x="119"/>
        <item x="140"/>
        <item x="126"/>
        <item x="37"/>
        <item x="99"/>
        <item x="151"/>
        <item x="132"/>
        <item x="168"/>
        <item x="127"/>
        <item x="154"/>
        <item x="6"/>
        <item x="100"/>
        <item x="30"/>
        <item x="4"/>
        <item x="123"/>
        <item x="83"/>
        <item x="170"/>
        <item x="90"/>
        <item x="149"/>
        <item x="82"/>
        <item x="169"/>
        <item x="49"/>
        <item x="135"/>
        <item x="160"/>
        <item x="142"/>
        <item x="166"/>
        <item x="155"/>
        <item x="124"/>
        <item x="95"/>
        <item x="75"/>
        <item x="19"/>
        <item x="44"/>
        <item x="73"/>
        <item x="128"/>
        <item x="61"/>
        <item x="103"/>
        <item x="122"/>
        <item x="59"/>
        <item x="97"/>
        <item x="109"/>
        <item x="21"/>
        <item x="48"/>
        <item x="9"/>
        <item x="85"/>
        <item x="114"/>
        <item x="130"/>
        <item x="164"/>
        <item x="23"/>
        <item x="60"/>
        <item x="161"/>
        <item x="52"/>
        <item x="139"/>
        <item x="159"/>
        <item x="72"/>
        <item x="158"/>
        <item x="62"/>
        <item x="101"/>
        <item x="35"/>
        <item x="147"/>
        <item x="38"/>
        <item x="28"/>
        <item x="167"/>
        <item x="69"/>
        <item x="163"/>
        <item x="84"/>
        <item x="143"/>
        <item x="11"/>
        <item x="137"/>
        <item x="111"/>
        <item x="78"/>
        <item x="136"/>
        <item x="53"/>
        <item x="36"/>
        <item x="165"/>
        <item x="51"/>
        <item x="56"/>
        <item x="148"/>
        <item x="42"/>
        <item x="8"/>
        <item x="104"/>
        <item x="1"/>
        <item x="10"/>
        <item x="68"/>
        <item x="24"/>
        <item x="98"/>
        <item x="40"/>
        <item x="39"/>
        <item x="50"/>
        <item x="117"/>
        <item x="93"/>
        <item x="77"/>
        <item x="57"/>
        <item x="25"/>
        <item x="156"/>
        <item x="108"/>
        <item x="3"/>
        <item x="88"/>
        <item x="18"/>
        <item x="94"/>
        <item x="15"/>
        <item x="105"/>
        <item x="17"/>
        <item x="121"/>
        <item x="12"/>
        <item x="86"/>
        <item x="14"/>
        <item x="125"/>
        <item x="92"/>
        <item x="146"/>
        <item x="41"/>
        <item x="46"/>
        <item x="120"/>
        <item x="0"/>
        <item x="7"/>
        <item x="2"/>
        <item x="76"/>
        <item x="63"/>
        <item x="27"/>
        <item x="79"/>
        <item x="145"/>
        <item x="133"/>
        <item x="22"/>
        <item x="33"/>
        <item x="16"/>
        <item x="134"/>
        <item x="157"/>
        <item x="106"/>
        <item x="153"/>
        <item x="13"/>
        <item x="144"/>
        <item x="67"/>
        <item x="26"/>
        <item x="47"/>
        <item x="96"/>
        <item x="55"/>
        <item x="65"/>
        <item x="138"/>
        <item x="116"/>
        <item x="107"/>
        <item x="5"/>
        <item x="150"/>
        <item x="118"/>
        <item x="131"/>
        <item x="171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_EGP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4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0:B50" firstHeaderRow="1" firstDataRow="1" firstDataCol="1"/>
  <pivotFields count="6">
    <pivotField axis="axisRow" compact="0" sortType="descending" showAll="0">
      <items count="10">
        <item x="8"/>
        <item x="5"/>
        <item x="2"/>
        <item x="0"/>
        <item x="7"/>
        <item x="3"/>
        <item x="4"/>
        <item x="1"/>
        <item x="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dataField="1" compact="0" showAll="0">
      <items count="173">
        <item x="45"/>
        <item x="34"/>
        <item x="32"/>
        <item x="162"/>
        <item x="110"/>
        <item x="71"/>
        <item x="113"/>
        <item x="58"/>
        <item x="89"/>
        <item x="66"/>
        <item x="129"/>
        <item x="141"/>
        <item x="152"/>
        <item x="87"/>
        <item x="70"/>
        <item x="29"/>
        <item x="74"/>
        <item x="80"/>
        <item x="20"/>
        <item x="115"/>
        <item x="102"/>
        <item x="81"/>
        <item x="112"/>
        <item x="91"/>
        <item x="54"/>
        <item x="43"/>
        <item x="64"/>
        <item x="31"/>
        <item x="119"/>
        <item x="140"/>
        <item x="126"/>
        <item x="37"/>
        <item x="99"/>
        <item x="151"/>
        <item x="132"/>
        <item x="168"/>
        <item x="127"/>
        <item x="154"/>
        <item x="6"/>
        <item x="100"/>
        <item x="30"/>
        <item x="4"/>
        <item x="123"/>
        <item x="83"/>
        <item x="170"/>
        <item x="90"/>
        <item x="149"/>
        <item x="82"/>
        <item x="169"/>
        <item x="49"/>
        <item x="135"/>
        <item x="160"/>
        <item x="142"/>
        <item x="166"/>
        <item x="155"/>
        <item x="124"/>
        <item x="95"/>
        <item x="75"/>
        <item x="19"/>
        <item x="44"/>
        <item x="73"/>
        <item x="128"/>
        <item x="61"/>
        <item x="103"/>
        <item x="122"/>
        <item x="59"/>
        <item x="97"/>
        <item x="109"/>
        <item x="21"/>
        <item x="48"/>
        <item x="9"/>
        <item x="85"/>
        <item x="114"/>
        <item x="130"/>
        <item x="164"/>
        <item x="23"/>
        <item x="60"/>
        <item x="161"/>
        <item x="52"/>
        <item x="139"/>
        <item x="159"/>
        <item x="72"/>
        <item x="158"/>
        <item x="62"/>
        <item x="101"/>
        <item x="35"/>
        <item x="147"/>
        <item x="38"/>
        <item x="28"/>
        <item x="167"/>
        <item x="69"/>
        <item x="163"/>
        <item x="84"/>
        <item x="143"/>
        <item x="11"/>
        <item x="137"/>
        <item x="111"/>
        <item x="78"/>
        <item x="136"/>
        <item x="53"/>
        <item x="36"/>
        <item x="165"/>
        <item x="51"/>
        <item x="56"/>
        <item x="148"/>
        <item x="42"/>
        <item x="8"/>
        <item x="104"/>
        <item x="1"/>
        <item x="10"/>
        <item x="68"/>
        <item x="24"/>
        <item x="98"/>
        <item x="40"/>
        <item x="39"/>
        <item x="50"/>
        <item x="117"/>
        <item x="93"/>
        <item x="77"/>
        <item x="57"/>
        <item x="25"/>
        <item x="156"/>
        <item x="108"/>
        <item x="3"/>
        <item x="88"/>
        <item x="18"/>
        <item x="94"/>
        <item x="15"/>
        <item x="105"/>
        <item x="17"/>
        <item x="121"/>
        <item x="12"/>
        <item x="86"/>
        <item x="14"/>
        <item x="125"/>
        <item x="92"/>
        <item x="146"/>
        <item x="41"/>
        <item x="46"/>
        <item x="120"/>
        <item x="0"/>
        <item x="7"/>
        <item x="2"/>
        <item x="76"/>
        <item x="63"/>
        <item x="27"/>
        <item x="79"/>
        <item x="145"/>
        <item x="133"/>
        <item x="22"/>
        <item x="33"/>
        <item x="16"/>
        <item x="134"/>
        <item x="157"/>
        <item x="106"/>
        <item x="153"/>
        <item x="13"/>
        <item x="144"/>
        <item x="67"/>
        <item x="26"/>
        <item x="47"/>
        <item x="96"/>
        <item x="55"/>
        <item x="65"/>
        <item x="138"/>
        <item x="116"/>
        <item x="107"/>
        <item x="5"/>
        <item x="150"/>
        <item x="118"/>
        <item x="131"/>
        <item x="171"/>
        <item t="default"/>
      </items>
    </pivotField>
  </pivotFields>
  <rowFields count="1">
    <field x="0"/>
  </rowFields>
  <rowItems count="10">
    <i>
      <x v="5"/>
    </i>
    <i>
      <x v="7"/>
    </i>
    <i>
      <x v="3"/>
    </i>
    <i>
      <x v="6"/>
    </i>
    <i>
      <x v="8"/>
    </i>
    <i>
      <x v="1"/>
    </i>
    <i>
      <x v="2"/>
    </i>
    <i>
      <x v="4"/>
    </i>
    <i>
      <x/>
    </i>
    <i t="grand">
      <x/>
    </i>
  </rowItems>
  <colItems count="1">
    <i/>
  </colItems>
  <dataFields count="1">
    <dataField name="Sum of Sales_EGP" fld="5" baseField="0" baseItem="0"/>
  </dataField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5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55:B59" firstHeaderRow="1" firstDataRow="1" firstDataCol="1"/>
  <pivotFields count="7">
    <pivotField axis="axisRow" compact="0" showAll="0">
      <items count="4">
        <item x="1"/>
        <item x="0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73">
        <item x="45"/>
        <item x="34"/>
        <item x="32"/>
        <item x="162"/>
        <item x="110"/>
        <item x="71"/>
        <item x="113"/>
        <item x="58"/>
        <item x="89"/>
        <item x="66"/>
        <item x="129"/>
        <item x="141"/>
        <item x="152"/>
        <item x="87"/>
        <item x="70"/>
        <item x="29"/>
        <item x="74"/>
        <item x="80"/>
        <item x="20"/>
        <item x="115"/>
        <item x="102"/>
        <item x="81"/>
        <item x="112"/>
        <item x="91"/>
        <item x="54"/>
        <item x="43"/>
        <item x="64"/>
        <item x="31"/>
        <item x="119"/>
        <item x="140"/>
        <item x="126"/>
        <item x="37"/>
        <item x="99"/>
        <item x="151"/>
        <item x="132"/>
        <item x="168"/>
        <item x="127"/>
        <item x="154"/>
        <item x="6"/>
        <item x="100"/>
        <item x="30"/>
        <item x="4"/>
        <item x="123"/>
        <item x="83"/>
        <item x="170"/>
        <item x="90"/>
        <item x="149"/>
        <item x="82"/>
        <item x="169"/>
        <item x="49"/>
        <item x="135"/>
        <item x="160"/>
        <item x="142"/>
        <item x="166"/>
        <item x="155"/>
        <item x="124"/>
        <item x="95"/>
        <item x="75"/>
        <item x="19"/>
        <item x="44"/>
        <item x="73"/>
        <item x="128"/>
        <item x="61"/>
        <item x="103"/>
        <item x="122"/>
        <item x="59"/>
        <item x="97"/>
        <item x="109"/>
        <item x="21"/>
        <item x="48"/>
        <item x="9"/>
        <item x="85"/>
        <item x="114"/>
        <item x="130"/>
        <item x="164"/>
        <item x="23"/>
        <item x="60"/>
        <item x="161"/>
        <item x="52"/>
        <item x="139"/>
        <item x="159"/>
        <item x="72"/>
        <item x="158"/>
        <item x="62"/>
        <item x="101"/>
        <item x="35"/>
        <item x="147"/>
        <item x="38"/>
        <item x="28"/>
        <item x="167"/>
        <item x="69"/>
        <item x="163"/>
        <item x="84"/>
        <item x="143"/>
        <item x="11"/>
        <item x="137"/>
        <item x="111"/>
        <item x="78"/>
        <item x="136"/>
        <item x="53"/>
        <item x="36"/>
        <item x="165"/>
        <item x="51"/>
        <item x="56"/>
        <item x="148"/>
        <item x="42"/>
        <item x="8"/>
        <item x="104"/>
        <item x="1"/>
        <item x="10"/>
        <item x="68"/>
        <item x="24"/>
        <item x="98"/>
        <item x="40"/>
        <item x="39"/>
        <item x="50"/>
        <item x="117"/>
        <item x="93"/>
        <item x="77"/>
        <item x="57"/>
        <item x="25"/>
        <item x="156"/>
        <item x="108"/>
        <item x="3"/>
        <item x="88"/>
        <item x="18"/>
        <item x="94"/>
        <item x="15"/>
        <item x="105"/>
        <item x="17"/>
        <item x="121"/>
        <item x="12"/>
        <item x="86"/>
        <item x="14"/>
        <item x="125"/>
        <item x="92"/>
        <item x="146"/>
        <item x="41"/>
        <item x="46"/>
        <item x="120"/>
        <item x="0"/>
        <item x="7"/>
        <item x="2"/>
        <item x="76"/>
        <item x="63"/>
        <item x="27"/>
        <item x="79"/>
        <item x="145"/>
        <item x="133"/>
        <item x="22"/>
        <item x="33"/>
        <item x="16"/>
        <item x="134"/>
        <item x="157"/>
        <item x="106"/>
        <item x="153"/>
        <item x="13"/>
        <item x="144"/>
        <item x="67"/>
        <item x="26"/>
        <item x="47"/>
        <item x="96"/>
        <item x="55"/>
        <item x="65"/>
        <item x="138"/>
        <item x="116"/>
        <item x="107"/>
        <item x="5"/>
        <item x="150"/>
        <item x="118"/>
        <item x="131"/>
        <item x="17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EGP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6" autoFormatId="1" applyNumberFormats="0" applyBorderFormats="0" applyFontFormats="0" applyPatternFormats="0" applyAlignmentFormats="0" applyWidthHeightFormats="1" dataCaption="Values" updatedVersion="5" minRefreshableVersion="3" createdVersion="5" useAutoFormatting="1" indent="0" outline="1" outlineData="1" showDrill="1" multipleFieldFilters="0">
  <location ref="A68:B78" firstHeaderRow="1" firstDataRow="1" firstDataCol="1"/>
  <pivotFields count="3">
    <pivotField axis="axisRow" insertBlankRow="1" showAll="0">
      <items count="10">
        <item x="6"/>
        <item x="1"/>
        <item x="4"/>
        <item x="3"/>
        <item x="7"/>
        <item x="0"/>
        <item x="2"/>
        <item x="5"/>
        <item x="8"/>
        <item t="default"/>
      </items>
    </pivotField>
    <pivotField insertBlankRow="1" showAll="0">
      <items count="6">
        <item x="3"/>
        <item x="2"/>
        <item x="0"/>
        <item x="1"/>
        <item x="4"/>
        <item t="default"/>
      </items>
    </pivotField>
    <pivotField dataField="1" insertBlankRow="1" showAll="0">
      <items count="6">
        <item x="1"/>
        <item x="2"/>
        <item x="3"/>
        <item x="0"/>
        <item x="4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Quantity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83:B90" firstHeaderRow="1" firstDataRow="1" firstDataCol="1"/>
  <pivotFields count="3">
    <pivotField dataField="1" compact="0" showAll="0">
      <items count="182">
        <item x="106"/>
        <item x="179"/>
        <item x="97"/>
        <item x="17"/>
        <item x="113"/>
        <item x="77"/>
        <item x="22"/>
        <item x="108"/>
        <item x="123"/>
        <item x="80"/>
        <item x="89"/>
        <item x="119"/>
        <item x="103"/>
        <item x="111"/>
        <item x="154"/>
        <item x="133"/>
        <item x="150"/>
        <item x="58"/>
        <item x="1"/>
        <item x="87"/>
        <item x="158"/>
        <item x="39"/>
        <item x="131"/>
        <item x="20"/>
        <item x="161"/>
        <item x="62"/>
        <item x="23"/>
        <item x="91"/>
        <item x="50"/>
        <item x="63"/>
        <item x="169"/>
        <item x="14"/>
        <item x="176"/>
        <item x="52"/>
        <item x="115"/>
        <item x="61"/>
        <item x="71"/>
        <item x="132"/>
        <item x="54"/>
        <item x="141"/>
        <item x="21"/>
        <item x="78"/>
        <item x="168"/>
        <item x="19"/>
        <item x="136"/>
        <item x="92"/>
        <item x="65"/>
        <item x="13"/>
        <item x="8"/>
        <item x="93"/>
        <item x="57"/>
        <item x="130"/>
        <item x="85"/>
        <item x="95"/>
        <item x="117"/>
        <item x="172"/>
        <item x="7"/>
        <item x="177"/>
        <item x="35"/>
        <item x="81"/>
        <item x="166"/>
        <item x="51"/>
        <item x="109"/>
        <item x="135"/>
        <item x="2"/>
        <item x="139"/>
        <item x="60"/>
        <item x="112"/>
        <item x="4"/>
        <item x="59"/>
        <item x="149"/>
        <item x="45"/>
        <item x="162"/>
        <item x="12"/>
        <item x="98"/>
        <item x="48"/>
        <item x="16"/>
        <item x="40"/>
        <item x="83"/>
        <item x="116"/>
        <item x="56"/>
        <item x="24"/>
        <item x="155"/>
        <item x="125"/>
        <item x="42"/>
        <item x="157"/>
        <item x="15"/>
        <item x="47"/>
        <item x="72"/>
        <item x="90"/>
        <item x="75"/>
        <item x="9"/>
        <item x="88"/>
        <item x="128"/>
        <item x="143"/>
        <item x="70"/>
        <item x="146"/>
        <item x="82"/>
        <item x="142"/>
        <item x="165"/>
        <item x="164"/>
        <item x="33"/>
        <item x="124"/>
        <item x="6"/>
        <item x="41"/>
        <item x="28"/>
        <item x="140"/>
        <item x="76"/>
        <item x="10"/>
        <item x="163"/>
        <item x="34"/>
        <item x="49"/>
        <item x="152"/>
        <item x="66"/>
        <item x="38"/>
        <item x="102"/>
        <item x="174"/>
        <item x="110"/>
        <item x="36"/>
        <item x="104"/>
        <item x="175"/>
        <item x="134"/>
        <item x="0"/>
        <item x="5"/>
        <item x="147"/>
        <item x="107"/>
        <item x="25"/>
        <item x="145"/>
        <item x="18"/>
        <item x="94"/>
        <item x="43"/>
        <item x="126"/>
        <item x="178"/>
        <item x="69"/>
        <item x="99"/>
        <item x="55"/>
        <item x="100"/>
        <item x="137"/>
        <item x="151"/>
        <item x="148"/>
        <item x="171"/>
        <item x="31"/>
        <item x="37"/>
        <item x="11"/>
        <item x="160"/>
        <item x="74"/>
        <item x="86"/>
        <item x="30"/>
        <item x="73"/>
        <item x="170"/>
        <item x="46"/>
        <item x="67"/>
        <item x="138"/>
        <item x="29"/>
        <item x="27"/>
        <item x="114"/>
        <item x="44"/>
        <item x="84"/>
        <item x="32"/>
        <item x="79"/>
        <item x="127"/>
        <item x="96"/>
        <item x="129"/>
        <item x="122"/>
        <item x="26"/>
        <item x="121"/>
        <item x="118"/>
        <item x="3"/>
        <item x="105"/>
        <item x="156"/>
        <item x="144"/>
        <item x="68"/>
        <item x="167"/>
        <item x="53"/>
        <item x="173"/>
        <item x="153"/>
        <item x="64"/>
        <item x="120"/>
        <item x="159"/>
        <item x="101"/>
        <item x="180"/>
        <item t="default"/>
      </items>
    </pivotField>
    <pivotField compact="0" showAll="0"/>
    <pivotField axis="axisRow" compact="0" showAll="0">
      <items count="7">
        <item x="2"/>
        <item x="3"/>
        <item x="1"/>
        <item x="0"/>
        <item x="4"/>
        <item x="5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8" cacheId="7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95:B105" firstHeaderRow="1" firstDataRow="1" firstDataCol="1"/>
  <pivotFields count="5">
    <pivotField axis="axisRow" compact="0" showAll="0">
      <items count="10">
        <item x="6"/>
        <item x="1"/>
        <item x="4"/>
        <item x="3"/>
        <item x="7"/>
        <item x="0"/>
        <item x="2"/>
        <item x="5"/>
        <item x="8"/>
        <item t="default"/>
      </items>
    </pivotField>
    <pivotField compact="0" showAll="0"/>
    <pivotField compact="0" showAll="0"/>
    <pivotField compact="0" showAll="0"/>
    <pivotField dataField="1" compact="0" showAll="0">
      <items count="6">
        <item x="2"/>
        <item x="0"/>
        <item x="3"/>
        <item x="1"/>
        <item x="4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Discount" fld="4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9" cacheId="8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10:C116" firstHeaderRow="0" firstDataRow="1" firstDataCol="1"/>
  <pivotFields count="10">
    <pivotField dataField="1" compact="0" showAll="0">
      <items count="182">
        <item x="106"/>
        <item x="179"/>
        <item x="97"/>
        <item x="17"/>
        <item x="113"/>
        <item x="77"/>
        <item x="22"/>
        <item x="108"/>
        <item x="123"/>
        <item x="80"/>
        <item x="89"/>
        <item x="119"/>
        <item x="103"/>
        <item x="111"/>
        <item x="154"/>
        <item x="133"/>
        <item x="150"/>
        <item x="58"/>
        <item x="1"/>
        <item x="87"/>
        <item x="158"/>
        <item x="39"/>
        <item x="131"/>
        <item x="20"/>
        <item x="161"/>
        <item x="62"/>
        <item x="23"/>
        <item x="91"/>
        <item x="50"/>
        <item x="63"/>
        <item x="169"/>
        <item x="14"/>
        <item x="176"/>
        <item x="52"/>
        <item x="115"/>
        <item x="61"/>
        <item x="71"/>
        <item x="132"/>
        <item x="54"/>
        <item x="141"/>
        <item x="21"/>
        <item x="78"/>
        <item x="168"/>
        <item x="19"/>
        <item x="136"/>
        <item x="92"/>
        <item x="65"/>
        <item x="13"/>
        <item x="8"/>
        <item x="93"/>
        <item x="57"/>
        <item x="130"/>
        <item x="85"/>
        <item x="95"/>
        <item x="117"/>
        <item x="172"/>
        <item x="7"/>
        <item x="177"/>
        <item x="35"/>
        <item x="81"/>
        <item x="166"/>
        <item x="51"/>
        <item x="109"/>
        <item x="135"/>
        <item x="2"/>
        <item x="139"/>
        <item x="60"/>
        <item x="112"/>
        <item x="4"/>
        <item x="59"/>
        <item x="149"/>
        <item x="45"/>
        <item x="162"/>
        <item x="12"/>
        <item x="98"/>
        <item x="48"/>
        <item x="16"/>
        <item x="40"/>
        <item x="83"/>
        <item x="116"/>
        <item x="56"/>
        <item x="24"/>
        <item x="155"/>
        <item x="125"/>
        <item x="42"/>
        <item x="157"/>
        <item x="15"/>
        <item x="47"/>
        <item x="72"/>
        <item x="90"/>
        <item x="75"/>
        <item x="9"/>
        <item x="88"/>
        <item x="128"/>
        <item x="143"/>
        <item x="70"/>
        <item x="146"/>
        <item x="82"/>
        <item x="142"/>
        <item x="165"/>
        <item x="164"/>
        <item x="33"/>
        <item x="124"/>
        <item x="6"/>
        <item x="41"/>
        <item x="28"/>
        <item x="140"/>
        <item x="76"/>
        <item x="10"/>
        <item x="163"/>
        <item x="34"/>
        <item x="49"/>
        <item x="152"/>
        <item x="66"/>
        <item x="38"/>
        <item x="102"/>
        <item x="174"/>
        <item x="110"/>
        <item x="36"/>
        <item x="104"/>
        <item x="175"/>
        <item x="134"/>
        <item x="0"/>
        <item x="5"/>
        <item x="147"/>
        <item x="107"/>
        <item x="25"/>
        <item x="145"/>
        <item x="18"/>
        <item x="94"/>
        <item x="43"/>
        <item x="126"/>
        <item x="178"/>
        <item x="69"/>
        <item x="99"/>
        <item x="55"/>
        <item x="100"/>
        <item x="137"/>
        <item x="151"/>
        <item x="148"/>
        <item x="171"/>
        <item x="31"/>
        <item x="37"/>
        <item x="11"/>
        <item x="160"/>
        <item x="74"/>
        <item x="86"/>
        <item x="30"/>
        <item x="73"/>
        <item x="170"/>
        <item x="46"/>
        <item x="67"/>
        <item x="138"/>
        <item x="29"/>
        <item x="27"/>
        <item x="114"/>
        <item x="44"/>
        <item x="84"/>
        <item x="32"/>
        <item x="79"/>
        <item x="127"/>
        <item x="96"/>
        <item x="129"/>
        <item x="122"/>
        <item x="26"/>
        <item x="121"/>
        <item x="118"/>
        <item x="3"/>
        <item x="105"/>
        <item x="156"/>
        <item x="144"/>
        <item x="68"/>
        <item x="167"/>
        <item x="53"/>
        <item x="173"/>
        <item x="153"/>
        <item x="64"/>
        <item x="120"/>
        <item x="159"/>
        <item x="101"/>
        <item x="18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2"/>
        <item x="0"/>
        <item x="3"/>
        <item x="1"/>
        <item x="4"/>
        <item t="default"/>
      </items>
    </pivotField>
    <pivotField dataField="1" compact="0" showAll="0">
      <items count="173">
        <item x="45"/>
        <item x="34"/>
        <item x="32"/>
        <item x="162"/>
        <item x="110"/>
        <item x="71"/>
        <item x="113"/>
        <item x="58"/>
        <item x="89"/>
        <item x="66"/>
        <item x="129"/>
        <item x="141"/>
        <item x="152"/>
        <item x="87"/>
        <item x="70"/>
        <item x="29"/>
        <item x="74"/>
        <item x="80"/>
        <item x="20"/>
        <item x="115"/>
        <item x="102"/>
        <item x="81"/>
        <item x="112"/>
        <item x="91"/>
        <item x="54"/>
        <item x="43"/>
        <item x="64"/>
        <item x="31"/>
        <item x="119"/>
        <item x="140"/>
        <item x="126"/>
        <item x="37"/>
        <item x="99"/>
        <item x="151"/>
        <item x="132"/>
        <item x="168"/>
        <item x="127"/>
        <item x="154"/>
        <item x="6"/>
        <item x="100"/>
        <item x="30"/>
        <item x="4"/>
        <item x="123"/>
        <item x="83"/>
        <item x="170"/>
        <item x="90"/>
        <item x="149"/>
        <item x="82"/>
        <item x="169"/>
        <item x="49"/>
        <item x="135"/>
        <item x="160"/>
        <item x="142"/>
        <item x="166"/>
        <item x="155"/>
        <item x="124"/>
        <item x="95"/>
        <item x="75"/>
        <item x="19"/>
        <item x="44"/>
        <item x="73"/>
        <item x="128"/>
        <item x="61"/>
        <item x="103"/>
        <item x="122"/>
        <item x="59"/>
        <item x="97"/>
        <item x="109"/>
        <item x="21"/>
        <item x="48"/>
        <item x="9"/>
        <item x="85"/>
        <item x="114"/>
        <item x="130"/>
        <item x="164"/>
        <item x="23"/>
        <item x="60"/>
        <item x="161"/>
        <item x="52"/>
        <item x="139"/>
        <item x="159"/>
        <item x="72"/>
        <item x="158"/>
        <item x="62"/>
        <item x="101"/>
        <item x="35"/>
        <item x="147"/>
        <item x="38"/>
        <item x="28"/>
        <item x="167"/>
        <item x="69"/>
        <item x="163"/>
        <item x="84"/>
        <item x="143"/>
        <item x="11"/>
        <item x="137"/>
        <item x="111"/>
        <item x="78"/>
        <item x="136"/>
        <item x="53"/>
        <item x="36"/>
        <item x="165"/>
        <item x="51"/>
        <item x="56"/>
        <item x="148"/>
        <item x="42"/>
        <item x="8"/>
        <item x="104"/>
        <item x="1"/>
        <item x="10"/>
        <item x="68"/>
        <item x="24"/>
        <item x="98"/>
        <item x="40"/>
        <item x="39"/>
        <item x="50"/>
        <item x="117"/>
        <item x="93"/>
        <item x="77"/>
        <item x="57"/>
        <item x="25"/>
        <item x="156"/>
        <item x="108"/>
        <item x="3"/>
        <item x="88"/>
        <item x="18"/>
        <item x="94"/>
        <item x="15"/>
        <item x="105"/>
        <item x="17"/>
        <item x="121"/>
        <item x="12"/>
        <item x="86"/>
        <item x="14"/>
        <item x="125"/>
        <item x="92"/>
        <item x="146"/>
        <item x="41"/>
        <item x="46"/>
        <item x="120"/>
        <item x="0"/>
        <item x="7"/>
        <item x="2"/>
        <item x="76"/>
        <item x="63"/>
        <item x="27"/>
        <item x="79"/>
        <item x="145"/>
        <item x="133"/>
        <item x="22"/>
        <item x="33"/>
        <item x="16"/>
        <item x="134"/>
        <item x="157"/>
        <item x="106"/>
        <item x="153"/>
        <item x="13"/>
        <item x="144"/>
        <item x="67"/>
        <item x="26"/>
        <item x="47"/>
        <item x="96"/>
        <item x="55"/>
        <item x="65"/>
        <item x="138"/>
        <item x="116"/>
        <item x="107"/>
        <item x="5"/>
        <item x="150"/>
        <item x="118"/>
        <item x="131"/>
        <item x="171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es_EGP" fld="9" subtotal="average" baseField="0" baseItem="0"/>
    <dataField name="Count of Order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Angles">
      <a:majorFont>
        <a:latin typeface="Franklin Gothic Medium"/>
        <a:ea typeface=""/>
        <a:cs typeface=""/>
        <a:font script="Jpan" typeface="HG創英角ｺﾞｼｯｸUB"/>
        <a:font script="Hang" typeface="돋움"/>
        <a:font script="Hans" typeface="微软雅黑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Franklin Gothic Book"/>
        <a:ea typeface=""/>
        <a:cs typeface=""/>
        <a:font script="Jpan" typeface="ＭＳ Ｐゴシック"/>
        <a:font script="Hang" typeface="맑은 고딕"/>
        <a:font script="Hans" typeface="隶书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10.xml"/><Relationship Id="rId8" Type="http://schemas.openxmlformats.org/officeDocument/2006/relationships/pivotTable" Target="../pivotTables/pivotTable9.xml"/><Relationship Id="rId7" Type="http://schemas.openxmlformats.org/officeDocument/2006/relationships/pivotTable" Target="../pivotTables/pivotTable8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1" Type="http://schemas.openxmlformats.org/officeDocument/2006/relationships/drawing" Target="../drawings/drawing2.xml"/><Relationship Id="rId10" Type="http://schemas.openxmlformats.org/officeDocument/2006/relationships/pivotTable" Target="../pivotTables/pivotTable1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1"/>
  <sheetViews>
    <sheetView tabSelected="1" workbookViewId="0">
      <selection activeCell="K1" sqref="K$1:K$1048576"/>
    </sheetView>
  </sheetViews>
  <sheetFormatPr defaultColWidth="7.36363636363636" defaultRowHeight="15"/>
  <cols>
    <col min="2" max="2" width="16.2727272727273" customWidth="1"/>
    <col min="10" max="10" width="9.36363636363636"/>
    <col min="11" max="11" width="11.8181818181818" customWidth="1"/>
  </cols>
  <sheetData>
    <row r="1" spans="1:1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</row>
    <row r="2" spans="1:11">
      <c r="A2" t="s">
        <v>11</v>
      </c>
      <c r="B2" s="13">
        <v>46023</v>
      </c>
      <c r="C2" t="s">
        <v>12</v>
      </c>
      <c r="D2" t="s">
        <v>13</v>
      </c>
      <c r="E2" t="s">
        <v>14</v>
      </c>
      <c r="F2" t="s">
        <v>15</v>
      </c>
      <c r="G2">
        <v>4</v>
      </c>
      <c r="H2">
        <v>4070</v>
      </c>
      <c r="I2">
        <v>0.05</v>
      </c>
      <c r="J2">
        <v>15466</v>
      </c>
      <c r="K2" t="s">
        <v>16</v>
      </c>
    </row>
    <row r="3" spans="1:11">
      <c r="A3" t="s">
        <v>17</v>
      </c>
      <c r="B3" s="13">
        <v>46024</v>
      </c>
      <c r="C3" t="s">
        <v>18</v>
      </c>
      <c r="D3" t="s">
        <v>19</v>
      </c>
      <c r="E3" t="s">
        <v>14</v>
      </c>
      <c r="F3" t="s">
        <v>15</v>
      </c>
      <c r="G3">
        <v>1</v>
      </c>
      <c r="H3">
        <v>6670</v>
      </c>
      <c r="I3">
        <v>0.15</v>
      </c>
      <c r="J3">
        <v>5669.5</v>
      </c>
      <c r="K3" t="s">
        <v>20</v>
      </c>
    </row>
    <row r="4" spans="1:11">
      <c r="A4" t="s">
        <v>21</v>
      </c>
      <c r="B4" s="13">
        <v>46024</v>
      </c>
      <c r="C4" t="s">
        <v>22</v>
      </c>
      <c r="D4" t="s">
        <v>19</v>
      </c>
      <c r="E4" t="s">
        <v>23</v>
      </c>
      <c r="F4" t="s">
        <v>15</v>
      </c>
      <c r="G4">
        <v>2</v>
      </c>
      <c r="H4">
        <v>8200</v>
      </c>
      <c r="I4">
        <v>0</v>
      </c>
      <c r="J4">
        <v>16400</v>
      </c>
      <c r="K4" t="s">
        <v>24</v>
      </c>
    </row>
    <row r="5" spans="1:11">
      <c r="A5" t="s">
        <v>25</v>
      </c>
      <c r="B5" s="13">
        <v>46025</v>
      </c>
      <c r="C5" t="s">
        <v>18</v>
      </c>
      <c r="D5" t="s">
        <v>13</v>
      </c>
      <c r="E5" t="s">
        <v>23</v>
      </c>
      <c r="F5" t="s">
        <v>15</v>
      </c>
      <c r="G5">
        <v>1</v>
      </c>
      <c r="H5">
        <v>8620</v>
      </c>
      <c r="I5">
        <v>0.1</v>
      </c>
      <c r="J5">
        <v>7758</v>
      </c>
      <c r="K5" t="s">
        <v>24</v>
      </c>
    </row>
    <row r="6" spans="1:11">
      <c r="A6" t="s">
        <v>26</v>
      </c>
      <c r="B6" s="13">
        <v>46026</v>
      </c>
      <c r="C6" t="s">
        <v>22</v>
      </c>
      <c r="D6" t="s">
        <v>13</v>
      </c>
      <c r="E6" t="s">
        <v>27</v>
      </c>
      <c r="F6" t="s">
        <v>28</v>
      </c>
      <c r="G6">
        <v>4</v>
      </c>
      <c r="H6">
        <v>140</v>
      </c>
      <c r="I6">
        <v>0.1</v>
      </c>
      <c r="J6">
        <v>504</v>
      </c>
      <c r="K6" t="s">
        <v>29</v>
      </c>
    </row>
    <row r="7" spans="1:11">
      <c r="A7" t="s">
        <v>30</v>
      </c>
      <c r="B7" s="13">
        <v>46027</v>
      </c>
      <c r="C7" t="s">
        <v>31</v>
      </c>
      <c r="D7" t="s">
        <v>19</v>
      </c>
      <c r="E7" t="s">
        <v>32</v>
      </c>
      <c r="F7" t="s">
        <v>33</v>
      </c>
      <c r="G7">
        <v>3</v>
      </c>
      <c r="H7">
        <v>40210</v>
      </c>
      <c r="I7">
        <v>0.05</v>
      </c>
      <c r="J7">
        <v>114598.5</v>
      </c>
      <c r="K7" t="s">
        <v>34</v>
      </c>
    </row>
    <row r="8" spans="1:11">
      <c r="A8" t="s">
        <v>35</v>
      </c>
      <c r="B8" s="13">
        <v>46027</v>
      </c>
      <c r="C8" t="s">
        <v>31</v>
      </c>
      <c r="D8" t="s">
        <v>19</v>
      </c>
      <c r="E8" t="s">
        <v>27</v>
      </c>
      <c r="F8" t="s">
        <v>28</v>
      </c>
      <c r="G8">
        <v>2</v>
      </c>
      <c r="H8">
        <v>210</v>
      </c>
      <c r="I8">
        <v>0.1</v>
      </c>
      <c r="J8">
        <v>378</v>
      </c>
      <c r="K8" t="s">
        <v>36</v>
      </c>
    </row>
    <row r="9" spans="1:11">
      <c r="A9" t="s">
        <v>37</v>
      </c>
      <c r="B9" s="13">
        <v>46030</v>
      </c>
      <c r="C9" t="s">
        <v>31</v>
      </c>
      <c r="D9" t="s">
        <v>13</v>
      </c>
      <c r="E9" t="s">
        <v>23</v>
      </c>
      <c r="F9" t="s">
        <v>15</v>
      </c>
      <c r="G9">
        <v>2</v>
      </c>
      <c r="H9">
        <v>8060</v>
      </c>
      <c r="I9">
        <v>0</v>
      </c>
      <c r="J9">
        <v>16120</v>
      </c>
      <c r="K9" t="s">
        <v>38</v>
      </c>
    </row>
    <row r="10" spans="1:11">
      <c r="A10" t="s">
        <v>39</v>
      </c>
      <c r="B10" s="13">
        <v>46031</v>
      </c>
      <c r="C10" t="s">
        <v>31</v>
      </c>
      <c r="D10" t="s">
        <v>19</v>
      </c>
      <c r="E10" t="s">
        <v>14</v>
      </c>
      <c r="F10" t="s">
        <v>15</v>
      </c>
      <c r="G10">
        <v>1</v>
      </c>
      <c r="H10">
        <v>5480</v>
      </c>
      <c r="I10">
        <v>0</v>
      </c>
      <c r="J10">
        <v>5480</v>
      </c>
      <c r="K10" t="s">
        <v>29</v>
      </c>
    </row>
    <row r="11" spans="1:11">
      <c r="A11" t="s">
        <v>40</v>
      </c>
      <c r="B11" s="13">
        <v>46031</v>
      </c>
      <c r="C11" t="s">
        <v>18</v>
      </c>
      <c r="D11" t="s">
        <v>19</v>
      </c>
      <c r="E11" t="s">
        <v>41</v>
      </c>
      <c r="F11" t="s">
        <v>33</v>
      </c>
      <c r="G11">
        <v>2</v>
      </c>
      <c r="H11">
        <v>950</v>
      </c>
      <c r="I11">
        <v>0.15</v>
      </c>
      <c r="J11">
        <v>1615</v>
      </c>
      <c r="K11" t="s">
        <v>42</v>
      </c>
    </row>
    <row r="12" spans="1:11">
      <c r="A12" t="s">
        <v>43</v>
      </c>
      <c r="B12" s="13">
        <v>46034</v>
      </c>
      <c r="C12" t="s">
        <v>18</v>
      </c>
      <c r="D12" t="s">
        <v>13</v>
      </c>
      <c r="E12" t="s">
        <v>41</v>
      </c>
      <c r="F12" t="s">
        <v>33</v>
      </c>
      <c r="G12">
        <v>3</v>
      </c>
      <c r="H12">
        <v>2030</v>
      </c>
      <c r="I12">
        <v>0.05</v>
      </c>
      <c r="J12">
        <v>5785.5</v>
      </c>
      <c r="K12" t="s">
        <v>42</v>
      </c>
    </row>
    <row r="13" spans="1:11">
      <c r="A13" t="s">
        <v>44</v>
      </c>
      <c r="B13" s="13">
        <v>46035</v>
      </c>
      <c r="C13" t="s">
        <v>12</v>
      </c>
      <c r="D13" t="s">
        <v>13</v>
      </c>
      <c r="E13" t="s">
        <v>41</v>
      </c>
      <c r="F13" t="s">
        <v>33</v>
      </c>
      <c r="G13">
        <v>2</v>
      </c>
      <c r="H13">
        <v>2180</v>
      </c>
      <c r="I13">
        <v>0.05</v>
      </c>
      <c r="J13">
        <v>4142</v>
      </c>
      <c r="K13" t="s">
        <v>45</v>
      </c>
    </row>
    <row r="14" spans="1:11">
      <c r="A14" t="s">
        <v>46</v>
      </c>
      <c r="B14" s="13">
        <v>46036</v>
      </c>
      <c r="C14" t="s">
        <v>12</v>
      </c>
      <c r="D14" t="s">
        <v>13</v>
      </c>
      <c r="E14" t="s">
        <v>14</v>
      </c>
      <c r="F14" t="s">
        <v>15</v>
      </c>
      <c r="G14">
        <v>2</v>
      </c>
      <c r="H14">
        <v>5950</v>
      </c>
      <c r="I14">
        <v>0</v>
      </c>
      <c r="J14">
        <v>11900</v>
      </c>
      <c r="K14" t="s">
        <v>47</v>
      </c>
    </row>
    <row r="15" spans="1:11">
      <c r="A15" t="s">
        <v>48</v>
      </c>
      <c r="B15" s="13">
        <v>46036</v>
      </c>
      <c r="C15" t="s">
        <v>12</v>
      </c>
      <c r="D15" t="s">
        <v>19</v>
      </c>
      <c r="E15" t="s">
        <v>32</v>
      </c>
      <c r="F15" t="s">
        <v>33</v>
      </c>
      <c r="G15">
        <v>1</v>
      </c>
      <c r="H15">
        <v>35180</v>
      </c>
      <c r="I15">
        <v>0</v>
      </c>
      <c r="J15">
        <v>35180</v>
      </c>
      <c r="K15" t="s">
        <v>49</v>
      </c>
    </row>
    <row r="16" spans="1:11">
      <c r="A16" t="s">
        <v>50</v>
      </c>
      <c r="B16" s="13">
        <v>46037</v>
      </c>
      <c r="C16" t="s">
        <v>51</v>
      </c>
      <c r="D16" t="s">
        <v>19</v>
      </c>
      <c r="E16" t="s">
        <v>23</v>
      </c>
      <c r="F16" t="s">
        <v>15</v>
      </c>
      <c r="G16">
        <v>2</v>
      </c>
      <c r="H16">
        <v>6850</v>
      </c>
      <c r="I16">
        <v>0.1</v>
      </c>
      <c r="J16">
        <v>12330</v>
      </c>
      <c r="K16" t="s">
        <v>52</v>
      </c>
    </row>
    <row r="17" spans="1:11">
      <c r="A17" t="s">
        <v>53</v>
      </c>
      <c r="B17" s="13">
        <v>46037</v>
      </c>
      <c r="C17" t="s">
        <v>18</v>
      </c>
      <c r="D17" t="s">
        <v>19</v>
      </c>
      <c r="E17" t="s">
        <v>23</v>
      </c>
      <c r="F17" t="s">
        <v>15</v>
      </c>
      <c r="G17">
        <v>1</v>
      </c>
      <c r="H17">
        <v>8660</v>
      </c>
      <c r="I17">
        <v>0</v>
      </c>
      <c r="J17">
        <v>8660</v>
      </c>
      <c r="K17" t="s">
        <v>54</v>
      </c>
    </row>
    <row r="18" spans="1:11">
      <c r="A18" t="s">
        <v>55</v>
      </c>
      <c r="B18" s="13">
        <v>46037</v>
      </c>
      <c r="C18" t="s">
        <v>31</v>
      </c>
      <c r="D18" t="s">
        <v>19</v>
      </c>
      <c r="E18" t="s">
        <v>32</v>
      </c>
      <c r="F18" t="s">
        <v>33</v>
      </c>
      <c r="G18">
        <v>1</v>
      </c>
      <c r="H18">
        <v>32360</v>
      </c>
      <c r="I18">
        <v>0</v>
      </c>
      <c r="J18">
        <v>32360</v>
      </c>
      <c r="K18" t="s">
        <v>56</v>
      </c>
    </row>
    <row r="19" spans="1:11">
      <c r="A19" t="s">
        <v>57</v>
      </c>
      <c r="B19" s="13">
        <v>46037</v>
      </c>
      <c r="C19" t="s">
        <v>12</v>
      </c>
      <c r="D19" t="s">
        <v>13</v>
      </c>
      <c r="E19" t="s">
        <v>14</v>
      </c>
      <c r="F19" t="s">
        <v>15</v>
      </c>
      <c r="G19">
        <v>3</v>
      </c>
      <c r="H19">
        <v>4070</v>
      </c>
      <c r="I19">
        <v>0.05</v>
      </c>
      <c r="J19">
        <v>11599.5</v>
      </c>
      <c r="K19" t="s">
        <v>58</v>
      </c>
    </row>
    <row r="20" spans="1:11">
      <c r="A20" t="s">
        <v>59</v>
      </c>
      <c r="B20" s="13">
        <v>46037</v>
      </c>
      <c r="C20" t="s">
        <v>51</v>
      </c>
      <c r="D20" t="s">
        <v>13</v>
      </c>
      <c r="E20" t="s">
        <v>23</v>
      </c>
      <c r="F20" t="s">
        <v>15</v>
      </c>
      <c r="G20">
        <v>1</v>
      </c>
      <c r="H20">
        <v>8690</v>
      </c>
      <c r="I20">
        <v>0.05</v>
      </c>
      <c r="J20">
        <v>8255.5</v>
      </c>
      <c r="K20" t="s">
        <v>60</v>
      </c>
    </row>
    <row r="21" spans="1:11">
      <c r="A21" t="s">
        <v>61</v>
      </c>
      <c r="B21" s="13">
        <v>46040</v>
      </c>
      <c r="C21" t="s">
        <v>22</v>
      </c>
      <c r="D21" t="s">
        <v>13</v>
      </c>
      <c r="E21" t="s">
        <v>62</v>
      </c>
      <c r="F21" t="s">
        <v>63</v>
      </c>
      <c r="G21">
        <v>4</v>
      </c>
      <c r="H21">
        <v>330</v>
      </c>
      <c r="I21">
        <v>0.05</v>
      </c>
      <c r="J21">
        <v>1254</v>
      </c>
      <c r="K21" t="s">
        <v>42</v>
      </c>
    </row>
    <row r="22" spans="1:11">
      <c r="A22" t="s">
        <v>64</v>
      </c>
      <c r="B22" s="13">
        <v>46043</v>
      </c>
      <c r="C22" t="s">
        <v>12</v>
      </c>
      <c r="D22" t="s">
        <v>13</v>
      </c>
      <c r="E22" t="s">
        <v>62</v>
      </c>
      <c r="F22" t="s">
        <v>63</v>
      </c>
      <c r="G22">
        <v>1</v>
      </c>
      <c r="H22">
        <v>150</v>
      </c>
      <c r="I22">
        <v>0</v>
      </c>
      <c r="J22">
        <v>150</v>
      </c>
      <c r="K22" t="s">
        <v>65</v>
      </c>
    </row>
    <row r="23" spans="1:11">
      <c r="A23" t="s">
        <v>66</v>
      </c>
      <c r="B23" s="13">
        <v>46043</v>
      </c>
      <c r="C23" t="s">
        <v>18</v>
      </c>
      <c r="D23" t="s">
        <v>19</v>
      </c>
      <c r="E23" t="s">
        <v>41</v>
      </c>
      <c r="F23" t="s">
        <v>33</v>
      </c>
      <c r="G23">
        <v>1</v>
      </c>
      <c r="H23">
        <v>1680</v>
      </c>
      <c r="I23">
        <v>0.05</v>
      </c>
      <c r="J23">
        <v>1596</v>
      </c>
      <c r="K23" t="s">
        <v>60</v>
      </c>
    </row>
    <row r="24" spans="1:11">
      <c r="A24" t="s">
        <v>67</v>
      </c>
      <c r="B24" s="13">
        <v>46043</v>
      </c>
      <c r="C24" t="s">
        <v>31</v>
      </c>
      <c r="D24" t="s">
        <v>13</v>
      </c>
      <c r="E24" t="s">
        <v>32</v>
      </c>
      <c r="F24" t="s">
        <v>33</v>
      </c>
      <c r="G24">
        <v>1</v>
      </c>
      <c r="H24">
        <v>35200</v>
      </c>
      <c r="I24">
        <v>0.15</v>
      </c>
      <c r="J24">
        <v>29920</v>
      </c>
      <c r="K24" t="s">
        <v>68</v>
      </c>
    </row>
    <row r="25" spans="1:11">
      <c r="A25" t="s">
        <v>69</v>
      </c>
      <c r="B25" s="13">
        <v>46044</v>
      </c>
      <c r="C25" t="s">
        <v>22</v>
      </c>
      <c r="D25" t="s">
        <v>19</v>
      </c>
      <c r="E25" t="s">
        <v>70</v>
      </c>
      <c r="F25" t="s">
        <v>63</v>
      </c>
      <c r="G25">
        <v>2</v>
      </c>
      <c r="H25">
        <v>1020</v>
      </c>
      <c r="I25">
        <v>0</v>
      </c>
      <c r="J25">
        <v>2040</v>
      </c>
      <c r="K25" t="s">
        <v>54</v>
      </c>
    </row>
    <row r="26" spans="1:11">
      <c r="A26" t="s">
        <v>71</v>
      </c>
      <c r="B26" s="13">
        <v>46046</v>
      </c>
      <c r="C26" t="s">
        <v>51</v>
      </c>
      <c r="D26" t="s">
        <v>19</v>
      </c>
      <c r="E26" t="s">
        <v>14</v>
      </c>
      <c r="F26" t="s">
        <v>15</v>
      </c>
      <c r="G26">
        <v>1</v>
      </c>
      <c r="H26">
        <v>6900</v>
      </c>
      <c r="I26">
        <v>0.15</v>
      </c>
      <c r="J26">
        <v>5865</v>
      </c>
      <c r="K26" t="s">
        <v>72</v>
      </c>
    </row>
    <row r="27" spans="1:11">
      <c r="A27" t="s">
        <v>73</v>
      </c>
      <c r="B27" s="13">
        <v>46049</v>
      </c>
      <c r="C27" t="s">
        <v>12</v>
      </c>
      <c r="D27" t="s">
        <v>13</v>
      </c>
      <c r="E27" t="s">
        <v>23</v>
      </c>
      <c r="F27" t="s">
        <v>15</v>
      </c>
      <c r="G27">
        <v>1</v>
      </c>
      <c r="H27">
        <v>8810</v>
      </c>
      <c r="I27">
        <v>0.15</v>
      </c>
      <c r="J27">
        <v>7488.5</v>
      </c>
      <c r="K27" t="s">
        <v>42</v>
      </c>
    </row>
    <row r="28" spans="1:11">
      <c r="A28" t="s">
        <v>74</v>
      </c>
      <c r="B28" s="13">
        <v>46049</v>
      </c>
      <c r="C28" t="s">
        <v>18</v>
      </c>
      <c r="D28" t="s">
        <v>19</v>
      </c>
      <c r="E28" t="s">
        <v>32</v>
      </c>
      <c r="F28" t="s">
        <v>33</v>
      </c>
      <c r="G28">
        <v>1</v>
      </c>
      <c r="H28">
        <v>36740</v>
      </c>
      <c r="I28">
        <v>0</v>
      </c>
      <c r="J28">
        <v>36740</v>
      </c>
      <c r="K28" t="s">
        <v>75</v>
      </c>
    </row>
    <row r="29" spans="1:11">
      <c r="A29" t="s">
        <v>76</v>
      </c>
      <c r="B29" s="13">
        <v>46050</v>
      </c>
      <c r="C29" t="s">
        <v>31</v>
      </c>
      <c r="D29" t="s">
        <v>19</v>
      </c>
      <c r="E29" t="s">
        <v>14</v>
      </c>
      <c r="F29" t="s">
        <v>15</v>
      </c>
      <c r="G29">
        <v>3</v>
      </c>
      <c r="H29">
        <v>7430</v>
      </c>
      <c r="I29">
        <v>0</v>
      </c>
      <c r="J29">
        <v>22290</v>
      </c>
      <c r="K29" t="s">
        <v>77</v>
      </c>
    </row>
    <row r="30" spans="1:11">
      <c r="A30" t="s">
        <v>78</v>
      </c>
      <c r="B30" s="13">
        <v>46050</v>
      </c>
      <c r="C30" t="s">
        <v>12</v>
      </c>
      <c r="D30" t="s">
        <v>19</v>
      </c>
      <c r="E30" t="s">
        <v>70</v>
      </c>
      <c r="F30" t="s">
        <v>63</v>
      </c>
      <c r="G30">
        <v>2</v>
      </c>
      <c r="H30">
        <v>1780</v>
      </c>
      <c r="I30">
        <v>0.15</v>
      </c>
      <c r="J30">
        <v>3026</v>
      </c>
      <c r="K30" t="s">
        <v>29</v>
      </c>
    </row>
    <row r="31" spans="1:11">
      <c r="A31" t="s">
        <v>79</v>
      </c>
      <c r="B31" s="13">
        <v>46050</v>
      </c>
      <c r="C31" t="s">
        <v>18</v>
      </c>
      <c r="D31" t="s">
        <v>19</v>
      </c>
      <c r="E31" t="s">
        <v>27</v>
      </c>
      <c r="F31" t="s">
        <v>28</v>
      </c>
      <c r="G31">
        <v>1</v>
      </c>
      <c r="H31">
        <v>150</v>
      </c>
      <c r="I31">
        <v>0.1</v>
      </c>
      <c r="J31">
        <v>135</v>
      </c>
      <c r="K31" t="s">
        <v>80</v>
      </c>
    </row>
    <row r="32" spans="1:11">
      <c r="A32" t="s">
        <v>81</v>
      </c>
      <c r="B32" s="13">
        <v>46050</v>
      </c>
      <c r="C32" t="s">
        <v>12</v>
      </c>
      <c r="D32" t="s">
        <v>19</v>
      </c>
      <c r="E32" t="s">
        <v>27</v>
      </c>
      <c r="F32" t="s">
        <v>28</v>
      </c>
      <c r="G32">
        <v>4</v>
      </c>
      <c r="H32">
        <v>120</v>
      </c>
      <c r="I32">
        <v>0</v>
      </c>
      <c r="J32">
        <v>480</v>
      </c>
      <c r="K32" t="s">
        <v>77</v>
      </c>
    </row>
    <row r="33" spans="1:11">
      <c r="A33" t="s">
        <v>82</v>
      </c>
      <c r="B33" s="13">
        <v>46051</v>
      </c>
      <c r="C33" t="s">
        <v>22</v>
      </c>
      <c r="D33" t="s">
        <v>19</v>
      </c>
      <c r="E33" t="s">
        <v>27</v>
      </c>
      <c r="F33" t="s">
        <v>28</v>
      </c>
      <c r="G33">
        <v>2</v>
      </c>
      <c r="H33">
        <v>140</v>
      </c>
      <c r="I33">
        <v>0.15</v>
      </c>
      <c r="J33">
        <v>238</v>
      </c>
      <c r="K33" t="s">
        <v>75</v>
      </c>
    </row>
    <row r="34" spans="1:11">
      <c r="A34" t="s">
        <v>83</v>
      </c>
      <c r="B34" s="13">
        <v>46052</v>
      </c>
      <c r="C34" t="s">
        <v>31</v>
      </c>
      <c r="D34" t="s">
        <v>13</v>
      </c>
      <c r="E34" t="s">
        <v>84</v>
      </c>
      <c r="F34" t="s">
        <v>28</v>
      </c>
      <c r="G34">
        <v>1</v>
      </c>
      <c r="H34">
        <v>60</v>
      </c>
      <c r="I34">
        <v>0</v>
      </c>
      <c r="J34">
        <v>60</v>
      </c>
      <c r="K34" t="s">
        <v>85</v>
      </c>
    </row>
    <row r="35" spans="1:11">
      <c r="A35" t="s">
        <v>86</v>
      </c>
      <c r="B35" s="13">
        <v>46055</v>
      </c>
      <c r="C35" t="s">
        <v>51</v>
      </c>
      <c r="D35" t="s">
        <v>19</v>
      </c>
      <c r="E35" t="s">
        <v>23</v>
      </c>
      <c r="F35" t="s">
        <v>15</v>
      </c>
      <c r="G35">
        <v>4</v>
      </c>
      <c r="H35">
        <v>7810</v>
      </c>
      <c r="I35">
        <v>0</v>
      </c>
      <c r="J35">
        <v>31240</v>
      </c>
      <c r="K35" t="s">
        <v>87</v>
      </c>
    </row>
    <row r="36" spans="1:11">
      <c r="A36" t="s">
        <v>88</v>
      </c>
      <c r="B36" s="13">
        <v>46055</v>
      </c>
      <c r="C36" t="s">
        <v>12</v>
      </c>
      <c r="D36" t="s">
        <v>19</v>
      </c>
      <c r="E36" t="s">
        <v>84</v>
      </c>
      <c r="F36" t="s">
        <v>28</v>
      </c>
      <c r="G36">
        <v>1</v>
      </c>
      <c r="H36">
        <v>60</v>
      </c>
      <c r="I36">
        <v>0.15</v>
      </c>
      <c r="J36">
        <v>51</v>
      </c>
      <c r="K36" t="s">
        <v>52</v>
      </c>
    </row>
    <row r="37" spans="1:11">
      <c r="A37" t="s">
        <v>89</v>
      </c>
      <c r="B37" s="13">
        <v>46057</v>
      </c>
      <c r="C37" t="s">
        <v>51</v>
      </c>
      <c r="D37" t="s">
        <v>13</v>
      </c>
      <c r="E37" t="s">
        <v>70</v>
      </c>
      <c r="F37" t="s">
        <v>63</v>
      </c>
      <c r="G37">
        <v>2</v>
      </c>
      <c r="H37">
        <v>1450</v>
      </c>
      <c r="I37">
        <v>0</v>
      </c>
      <c r="J37">
        <v>2900</v>
      </c>
      <c r="K37" t="s">
        <v>90</v>
      </c>
    </row>
    <row r="38" spans="1:11">
      <c r="A38" t="s">
        <v>91</v>
      </c>
      <c r="B38" s="13">
        <v>46057</v>
      </c>
      <c r="C38" t="s">
        <v>18</v>
      </c>
      <c r="D38" t="s">
        <v>13</v>
      </c>
      <c r="E38" t="s">
        <v>70</v>
      </c>
      <c r="F38" t="s">
        <v>63</v>
      </c>
      <c r="G38">
        <v>4</v>
      </c>
      <c r="H38">
        <v>1250</v>
      </c>
      <c r="I38">
        <v>0</v>
      </c>
      <c r="J38">
        <v>5000</v>
      </c>
      <c r="K38" t="s">
        <v>92</v>
      </c>
    </row>
    <row r="39" spans="1:11">
      <c r="A39" t="s">
        <v>93</v>
      </c>
      <c r="B39" s="13">
        <v>46058</v>
      </c>
      <c r="C39" t="s">
        <v>12</v>
      </c>
      <c r="D39" t="s">
        <v>19</v>
      </c>
      <c r="E39" t="s">
        <v>62</v>
      </c>
      <c r="F39" t="s">
        <v>63</v>
      </c>
      <c r="G39">
        <v>2</v>
      </c>
      <c r="H39">
        <v>130</v>
      </c>
      <c r="I39">
        <v>0</v>
      </c>
      <c r="J39">
        <v>260</v>
      </c>
      <c r="K39" t="s">
        <v>94</v>
      </c>
    </row>
    <row r="40" spans="1:11">
      <c r="A40" t="s">
        <v>95</v>
      </c>
      <c r="B40" s="13">
        <v>46059</v>
      </c>
      <c r="C40" t="s">
        <v>51</v>
      </c>
      <c r="D40" t="s">
        <v>13</v>
      </c>
      <c r="E40" t="s">
        <v>41</v>
      </c>
      <c r="F40" t="s">
        <v>33</v>
      </c>
      <c r="G40">
        <v>2</v>
      </c>
      <c r="H40">
        <v>1500</v>
      </c>
      <c r="I40">
        <v>0</v>
      </c>
      <c r="J40">
        <v>3000</v>
      </c>
      <c r="K40" t="s">
        <v>45</v>
      </c>
    </row>
    <row r="41" spans="1:11">
      <c r="A41" t="s">
        <v>96</v>
      </c>
      <c r="B41" s="13">
        <v>46060</v>
      </c>
      <c r="C41" t="s">
        <v>18</v>
      </c>
      <c r="D41" t="s">
        <v>19</v>
      </c>
      <c r="E41" t="s">
        <v>14</v>
      </c>
      <c r="F41" t="s">
        <v>15</v>
      </c>
      <c r="G41">
        <v>2</v>
      </c>
      <c r="H41">
        <v>3560</v>
      </c>
      <c r="I41">
        <v>0.1</v>
      </c>
      <c r="J41">
        <v>6408</v>
      </c>
      <c r="K41" t="s">
        <v>97</v>
      </c>
    </row>
    <row r="42" spans="1:11">
      <c r="A42" t="s">
        <v>98</v>
      </c>
      <c r="B42" s="13">
        <v>46062</v>
      </c>
      <c r="C42" t="s">
        <v>22</v>
      </c>
      <c r="D42" t="s">
        <v>19</v>
      </c>
      <c r="E42" t="s">
        <v>23</v>
      </c>
      <c r="F42" t="s">
        <v>15</v>
      </c>
      <c r="G42">
        <v>1</v>
      </c>
      <c r="H42">
        <v>6900</v>
      </c>
      <c r="I42">
        <v>0.1</v>
      </c>
      <c r="J42">
        <v>6210</v>
      </c>
      <c r="K42" t="s">
        <v>60</v>
      </c>
    </row>
    <row r="43" spans="1:11">
      <c r="A43" t="s">
        <v>99</v>
      </c>
      <c r="B43" s="13">
        <v>46063</v>
      </c>
      <c r="C43" t="s">
        <v>18</v>
      </c>
      <c r="D43" t="s">
        <v>19</v>
      </c>
      <c r="E43" t="s">
        <v>23</v>
      </c>
      <c r="F43" t="s">
        <v>15</v>
      </c>
      <c r="G43">
        <v>3</v>
      </c>
      <c r="H43">
        <v>5330</v>
      </c>
      <c r="I43">
        <v>0.15</v>
      </c>
      <c r="J43">
        <v>13591.5</v>
      </c>
      <c r="K43" t="s">
        <v>100</v>
      </c>
    </row>
    <row r="44" spans="1:11">
      <c r="A44" t="s">
        <v>101</v>
      </c>
      <c r="B44" s="13">
        <v>46063</v>
      </c>
      <c r="C44" t="s">
        <v>12</v>
      </c>
      <c r="D44" t="s">
        <v>19</v>
      </c>
      <c r="E44" t="s">
        <v>41</v>
      </c>
      <c r="F44" t="s">
        <v>33</v>
      </c>
      <c r="G44">
        <v>3</v>
      </c>
      <c r="H44">
        <v>1780</v>
      </c>
      <c r="I44">
        <v>0</v>
      </c>
      <c r="J44">
        <v>5340</v>
      </c>
      <c r="K44" t="s">
        <v>90</v>
      </c>
    </row>
    <row r="45" spans="1:11">
      <c r="A45" t="s">
        <v>102</v>
      </c>
      <c r="B45" s="13">
        <v>46064</v>
      </c>
      <c r="C45" t="s">
        <v>22</v>
      </c>
      <c r="D45" t="s">
        <v>19</v>
      </c>
      <c r="E45" t="s">
        <v>84</v>
      </c>
      <c r="F45" t="s">
        <v>28</v>
      </c>
      <c r="G45">
        <v>3</v>
      </c>
      <c r="H45">
        <v>80</v>
      </c>
      <c r="I45">
        <v>0.15</v>
      </c>
      <c r="J45">
        <v>204</v>
      </c>
      <c r="K45" t="s">
        <v>94</v>
      </c>
    </row>
    <row r="46" spans="1:11">
      <c r="A46" t="s">
        <v>103</v>
      </c>
      <c r="B46" s="13">
        <v>46066</v>
      </c>
      <c r="C46" t="s">
        <v>12</v>
      </c>
      <c r="D46" t="s">
        <v>13</v>
      </c>
      <c r="E46" t="s">
        <v>41</v>
      </c>
      <c r="F46" t="s">
        <v>33</v>
      </c>
      <c r="G46">
        <v>1</v>
      </c>
      <c r="H46">
        <v>1540</v>
      </c>
      <c r="I46">
        <v>0.15</v>
      </c>
      <c r="J46">
        <v>1309</v>
      </c>
      <c r="K46" t="s">
        <v>104</v>
      </c>
    </row>
    <row r="47" spans="1:11">
      <c r="A47" t="s">
        <v>105</v>
      </c>
      <c r="B47" s="13">
        <v>46066</v>
      </c>
      <c r="C47" t="s">
        <v>18</v>
      </c>
      <c r="D47" t="s">
        <v>19</v>
      </c>
      <c r="E47" t="s">
        <v>84</v>
      </c>
      <c r="F47" t="s">
        <v>28</v>
      </c>
      <c r="G47">
        <v>1</v>
      </c>
      <c r="H47">
        <v>40</v>
      </c>
      <c r="I47">
        <v>0</v>
      </c>
      <c r="J47">
        <v>40</v>
      </c>
      <c r="K47" t="s">
        <v>106</v>
      </c>
    </row>
    <row r="48" spans="1:11">
      <c r="A48" t="s">
        <v>107</v>
      </c>
      <c r="B48" s="13">
        <v>46067</v>
      </c>
      <c r="C48" t="s">
        <v>31</v>
      </c>
      <c r="D48" t="s">
        <v>19</v>
      </c>
      <c r="E48" t="s">
        <v>14</v>
      </c>
      <c r="F48" t="s">
        <v>15</v>
      </c>
      <c r="G48">
        <v>4</v>
      </c>
      <c r="H48">
        <v>3630</v>
      </c>
      <c r="I48">
        <v>0.05</v>
      </c>
      <c r="J48">
        <v>13794</v>
      </c>
      <c r="K48" t="s">
        <v>72</v>
      </c>
    </row>
    <row r="49" spans="1:11">
      <c r="A49" t="s">
        <v>108</v>
      </c>
      <c r="B49" s="13">
        <v>46067</v>
      </c>
      <c r="C49" t="s">
        <v>31</v>
      </c>
      <c r="D49" t="s">
        <v>19</v>
      </c>
      <c r="E49" t="s">
        <v>84</v>
      </c>
      <c r="F49" t="s">
        <v>28</v>
      </c>
      <c r="G49">
        <v>1</v>
      </c>
      <c r="H49">
        <v>60</v>
      </c>
      <c r="I49">
        <v>0</v>
      </c>
      <c r="J49">
        <v>60</v>
      </c>
      <c r="K49" t="s">
        <v>109</v>
      </c>
    </row>
    <row r="50" spans="1:11">
      <c r="A50" t="s">
        <v>110</v>
      </c>
      <c r="B50" s="13">
        <v>46070</v>
      </c>
      <c r="C50" t="s">
        <v>22</v>
      </c>
      <c r="D50" t="s">
        <v>13</v>
      </c>
      <c r="E50" t="s">
        <v>32</v>
      </c>
      <c r="F50" t="s">
        <v>33</v>
      </c>
      <c r="G50">
        <v>1</v>
      </c>
      <c r="H50">
        <v>37940</v>
      </c>
      <c r="I50">
        <v>0</v>
      </c>
      <c r="J50">
        <v>37940</v>
      </c>
      <c r="K50" t="s">
        <v>111</v>
      </c>
    </row>
    <row r="51" spans="1:11">
      <c r="A51" t="s">
        <v>112</v>
      </c>
      <c r="B51" s="13">
        <v>46070</v>
      </c>
      <c r="C51" t="s">
        <v>12</v>
      </c>
      <c r="D51" t="s">
        <v>19</v>
      </c>
      <c r="E51" t="s">
        <v>70</v>
      </c>
      <c r="F51" t="s">
        <v>63</v>
      </c>
      <c r="G51">
        <v>1</v>
      </c>
      <c r="H51">
        <v>1780</v>
      </c>
      <c r="I51">
        <v>0.1</v>
      </c>
      <c r="J51">
        <v>1602</v>
      </c>
      <c r="K51" t="s">
        <v>60</v>
      </c>
    </row>
    <row r="52" spans="1:11">
      <c r="A52" t="s">
        <v>113</v>
      </c>
      <c r="B52" s="13">
        <v>46071</v>
      </c>
      <c r="C52" t="s">
        <v>22</v>
      </c>
      <c r="D52" t="s">
        <v>19</v>
      </c>
      <c r="E52" t="s">
        <v>62</v>
      </c>
      <c r="F52" t="s">
        <v>63</v>
      </c>
      <c r="G52">
        <v>3</v>
      </c>
      <c r="H52">
        <v>300</v>
      </c>
      <c r="I52">
        <v>0.05</v>
      </c>
      <c r="J52">
        <v>855</v>
      </c>
      <c r="K52" t="s">
        <v>114</v>
      </c>
    </row>
    <row r="53" spans="1:11">
      <c r="A53" t="s">
        <v>115</v>
      </c>
      <c r="B53" s="13">
        <v>46072</v>
      </c>
      <c r="C53" t="s">
        <v>51</v>
      </c>
      <c r="D53" t="s">
        <v>19</v>
      </c>
      <c r="E53" t="s">
        <v>70</v>
      </c>
      <c r="F53" t="s">
        <v>63</v>
      </c>
      <c r="G53">
        <v>4</v>
      </c>
      <c r="H53">
        <v>1780</v>
      </c>
      <c r="I53">
        <v>0.05</v>
      </c>
      <c r="J53">
        <v>6764</v>
      </c>
      <c r="K53" t="s">
        <v>97</v>
      </c>
    </row>
    <row r="54" spans="1:11">
      <c r="A54" t="s">
        <v>116</v>
      </c>
      <c r="B54" s="13">
        <v>46073</v>
      </c>
      <c r="C54" t="s">
        <v>22</v>
      </c>
      <c r="D54" t="s">
        <v>13</v>
      </c>
      <c r="E54" t="s">
        <v>84</v>
      </c>
      <c r="F54" t="s">
        <v>28</v>
      </c>
      <c r="G54">
        <v>1</v>
      </c>
      <c r="H54">
        <v>60</v>
      </c>
      <c r="I54">
        <v>0.15</v>
      </c>
      <c r="J54">
        <v>51</v>
      </c>
      <c r="K54" t="s">
        <v>117</v>
      </c>
    </row>
    <row r="55" spans="1:11">
      <c r="A55" t="s">
        <v>118</v>
      </c>
      <c r="B55" s="13">
        <v>46073</v>
      </c>
      <c r="C55" t="s">
        <v>22</v>
      </c>
      <c r="D55" t="s">
        <v>19</v>
      </c>
      <c r="E55" t="s">
        <v>14</v>
      </c>
      <c r="F55" t="s">
        <v>15</v>
      </c>
      <c r="G55">
        <v>1</v>
      </c>
      <c r="H55">
        <v>6070</v>
      </c>
      <c r="I55">
        <v>0.15</v>
      </c>
      <c r="J55">
        <v>5159.5</v>
      </c>
      <c r="K55" t="s">
        <v>119</v>
      </c>
    </row>
    <row r="56" spans="1:11">
      <c r="A56" t="s">
        <v>120</v>
      </c>
      <c r="B56" s="13">
        <v>46073</v>
      </c>
      <c r="C56" t="s">
        <v>31</v>
      </c>
      <c r="D56" t="s">
        <v>19</v>
      </c>
      <c r="E56" t="s">
        <v>41</v>
      </c>
      <c r="F56" t="s">
        <v>33</v>
      </c>
      <c r="G56">
        <v>1</v>
      </c>
      <c r="H56">
        <v>2110</v>
      </c>
      <c r="I56">
        <v>0</v>
      </c>
      <c r="J56">
        <v>2110</v>
      </c>
      <c r="K56" t="s">
        <v>52</v>
      </c>
    </row>
    <row r="57" spans="1:11">
      <c r="A57" t="s">
        <v>121</v>
      </c>
      <c r="B57" s="13">
        <v>46074</v>
      </c>
      <c r="C57" t="s">
        <v>51</v>
      </c>
      <c r="D57" t="s">
        <v>19</v>
      </c>
      <c r="E57" t="s">
        <v>14</v>
      </c>
      <c r="F57" t="s">
        <v>15</v>
      </c>
      <c r="G57">
        <v>1</v>
      </c>
      <c r="H57">
        <v>4490</v>
      </c>
      <c r="I57">
        <v>0</v>
      </c>
      <c r="J57">
        <v>4490</v>
      </c>
      <c r="K57" t="s">
        <v>54</v>
      </c>
    </row>
    <row r="58" spans="1:11">
      <c r="A58" t="s">
        <v>122</v>
      </c>
      <c r="B58" s="13">
        <v>46075</v>
      </c>
      <c r="C58" t="s">
        <v>12</v>
      </c>
      <c r="D58" t="s">
        <v>19</v>
      </c>
      <c r="E58" t="s">
        <v>62</v>
      </c>
      <c r="F58" t="s">
        <v>63</v>
      </c>
      <c r="G58">
        <v>1</v>
      </c>
      <c r="H58">
        <v>200</v>
      </c>
      <c r="I58">
        <v>0</v>
      </c>
      <c r="J58">
        <v>200</v>
      </c>
      <c r="K58" t="s">
        <v>65</v>
      </c>
    </row>
    <row r="59" spans="1:11">
      <c r="A59" t="s">
        <v>123</v>
      </c>
      <c r="B59" s="13">
        <v>46075</v>
      </c>
      <c r="C59" t="s">
        <v>12</v>
      </c>
      <c r="D59" t="s">
        <v>19</v>
      </c>
      <c r="E59" t="s">
        <v>32</v>
      </c>
      <c r="F59" t="s">
        <v>33</v>
      </c>
      <c r="G59">
        <v>1</v>
      </c>
      <c r="H59">
        <v>41900</v>
      </c>
      <c r="I59">
        <v>0.05</v>
      </c>
      <c r="J59">
        <v>39805</v>
      </c>
      <c r="K59" t="s">
        <v>58</v>
      </c>
    </row>
    <row r="60" spans="1:11">
      <c r="A60" t="s">
        <v>124</v>
      </c>
      <c r="B60" s="13">
        <v>46075</v>
      </c>
      <c r="C60" t="s">
        <v>31</v>
      </c>
      <c r="D60" t="s">
        <v>19</v>
      </c>
      <c r="E60" t="s">
        <v>23</v>
      </c>
      <c r="F60" t="s">
        <v>15</v>
      </c>
      <c r="G60">
        <v>1</v>
      </c>
      <c r="H60">
        <v>6150</v>
      </c>
      <c r="I60">
        <v>0.15</v>
      </c>
      <c r="J60">
        <v>5227.5</v>
      </c>
      <c r="K60" t="s">
        <v>45</v>
      </c>
    </row>
    <row r="61" spans="1:11">
      <c r="A61" t="s">
        <v>125</v>
      </c>
      <c r="B61" s="13">
        <v>46076</v>
      </c>
      <c r="C61" t="s">
        <v>51</v>
      </c>
      <c r="D61" t="s">
        <v>19</v>
      </c>
      <c r="E61" t="s">
        <v>23</v>
      </c>
      <c r="F61" t="s">
        <v>15</v>
      </c>
      <c r="G61">
        <v>1</v>
      </c>
      <c r="H61">
        <v>8770</v>
      </c>
      <c r="I61">
        <v>0.15</v>
      </c>
      <c r="J61">
        <v>7454.5</v>
      </c>
      <c r="K61" t="s">
        <v>45</v>
      </c>
    </row>
    <row r="62" spans="1:11">
      <c r="A62" t="s">
        <v>126</v>
      </c>
      <c r="B62" s="13">
        <v>46076</v>
      </c>
      <c r="C62" t="s">
        <v>31</v>
      </c>
      <c r="D62" t="s">
        <v>13</v>
      </c>
      <c r="E62" t="s">
        <v>84</v>
      </c>
      <c r="F62" t="s">
        <v>28</v>
      </c>
      <c r="G62">
        <v>2</v>
      </c>
      <c r="H62">
        <v>50</v>
      </c>
      <c r="I62">
        <v>0.15</v>
      </c>
      <c r="J62">
        <v>85</v>
      </c>
      <c r="K62" t="s">
        <v>60</v>
      </c>
    </row>
    <row r="63" spans="1:11">
      <c r="A63" t="s">
        <v>127</v>
      </c>
      <c r="B63" s="13">
        <v>46077</v>
      </c>
      <c r="C63" t="s">
        <v>12</v>
      </c>
      <c r="D63" t="s">
        <v>13</v>
      </c>
      <c r="E63" t="s">
        <v>70</v>
      </c>
      <c r="F63" t="s">
        <v>63</v>
      </c>
      <c r="G63">
        <v>1</v>
      </c>
      <c r="H63">
        <v>1450</v>
      </c>
      <c r="I63">
        <v>0</v>
      </c>
      <c r="J63">
        <v>1450</v>
      </c>
      <c r="K63" t="s">
        <v>128</v>
      </c>
    </row>
    <row r="64" spans="1:11">
      <c r="A64" t="s">
        <v>129</v>
      </c>
      <c r="B64" s="13">
        <v>46080</v>
      </c>
      <c r="C64" t="s">
        <v>18</v>
      </c>
      <c r="D64" t="s">
        <v>13</v>
      </c>
      <c r="E64" t="s">
        <v>41</v>
      </c>
      <c r="F64" t="s">
        <v>33</v>
      </c>
      <c r="G64">
        <v>1</v>
      </c>
      <c r="H64">
        <v>2080</v>
      </c>
      <c r="I64">
        <v>0</v>
      </c>
      <c r="J64">
        <v>2080</v>
      </c>
      <c r="K64" t="s">
        <v>36</v>
      </c>
    </row>
    <row r="65" spans="1:11">
      <c r="A65" t="s">
        <v>130</v>
      </c>
      <c r="B65" s="13">
        <v>46081</v>
      </c>
      <c r="C65" t="s">
        <v>22</v>
      </c>
      <c r="D65" t="s">
        <v>19</v>
      </c>
      <c r="E65" t="s">
        <v>41</v>
      </c>
      <c r="F65" t="s">
        <v>33</v>
      </c>
      <c r="G65">
        <v>1</v>
      </c>
      <c r="H65">
        <v>1600</v>
      </c>
      <c r="I65">
        <v>0.15</v>
      </c>
      <c r="J65">
        <v>1360</v>
      </c>
      <c r="K65" t="s">
        <v>80</v>
      </c>
    </row>
    <row r="66" spans="1:11">
      <c r="A66" t="s">
        <v>131</v>
      </c>
      <c r="B66" s="13">
        <v>46081</v>
      </c>
      <c r="C66" t="s">
        <v>12</v>
      </c>
      <c r="D66" t="s">
        <v>13</v>
      </c>
      <c r="E66" t="s">
        <v>41</v>
      </c>
      <c r="F66" t="s">
        <v>33</v>
      </c>
      <c r="G66">
        <v>2</v>
      </c>
      <c r="H66">
        <v>1270</v>
      </c>
      <c r="I66">
        <v>0</v>
      </c>
      <c r="J66">
        <v>2540</v>
      </c>
      <c r="K66" t="s">
        <v>111</v>
      </c>
    </row>
    <row r="67" spans="1:11">
      <c r="A67" t="s">
        <v>132</v>
      </c>
      <c r="B67" s="13">
        <v>46082</v>
      </c>
      <c r="C67" t="s">
        <v>22</v>
      </c>
      <c r="D67" t="s">
        <v>13</v>
      </c>
      <c r="E67" t="s">
        <v>23</v>
      </c>
      <c r="F67" t="s">
        <v>15</v>
      </c>
      <c r="G67">
        <v>4</v>
      </c>
      <c r="H67">
        <v>6190</v>
      </c>
      <c r="I67">
        <v>0.1</v>
      </c>
      <c r="J67">
        <v>22284</v>
      </c>
      <c r="K67" t="s">
        <v>77</v>
      </c>
    </row>
    <row r="68" spans="1:11">
      <c r="A68" t="s">
        <v>133</v>
      </c>
      <c r="B68" s="13">
        <v>46084</v>
      </c>
      <c r="C68" t="s">
        <v>31</v>
      </c>
      <c r="D68" t="s">
        <v>13</v>
      </c>
      <c r="E68" t="s">
        <v>84</v>
      </c>
      <c r="F68" t="s">
        <v>28</v>
      </c>
      <c r="G68">
        <v>3</v>
      </c>
      <c r="H68">
        <v>70</v>
      </c>
      <c r="I68">
        <v>0</v>
      </c>
      <c r="J68">
        <v>210</v>
      </c>
      <c r="K68" t="s">
        <v>134</v>
      </c>
    </row>
    <row r="69" spans="1:11">
      <c r="A69" t="s">
        <v>135</v>
      </c>
      <c r="B69" s="13">
        <v>46084</v>
      </c>
      <c r="C69" t="s">
        <v>51</v>
      </c>
      <c r="D69" t="s">
        <v>13</v>
      </c>
      <c r="E69" t="s">
        <v>32</v>
      </c>
      <c r="F69" t="s">
        <v>33</v>
      </c>
      <c r="G69">
        <v>1</v>
      </c>
      <c r="H69">
        <v>40610</v>
      </c>
      <c r="I69">
        <v>0</v>
      </c>
      <c r="J69">
        <v>40610</v>
      </c>
      <c r="K69" t="s">
        <v>136</v>
      </c>
    </row>
    <row r="70" spans="1:11">
      <c r="A70" t="s">
        <v>137</v>
      </c>
      <c r="B70" s="13">
        <v>46084</v>
      </c>
      <c r="C70" t="s">
        <v>18</v>
      </c>
      <c r="D70" t="s">
        <v>19</v>
      </c>
      <c r="E70" t="s">
        <v>27</v>
      </c>
      <c r="F70" t="s">
        <v>28</v>
      </c>
      <c r="G70">
        <v>1</v>
      </c>
      <c r="H70">
        <v>120</v>
      </c>
      <c r="I70">
        <v>0.1</v>
      </c>
      <c r="J70">
        <v>108</v>
      </c>
      <c r="K70" t="s">
        <v>45</v>
      </c>
    </row>
    <row r="71" spans="1:11">
      <c r="A71" t="s">
        <v>138</v>
      </c>
      <c r="B71" s="13">
        <v>46085</v>
      </c>
      <c r="C71" t="s">
        <v>12</v>
      </c>
      <c r="D71" t="s">
        <v>13</v>
      </c>
      <c r="E71" t="s">
        <v>32</v>
      </c>
      <c r="F71" t="s">
        <v>33</v>
      </c>
      <c r="G71">
        <v>1</v>
      </c>
      <c r="H71">
        <v>35980</v>
      </c>
      <c r="I71">
        <v>0</v>
      </c>
      <c r="J71">
        <v>35980</v>
      </c>
      <c r="K71" t="s">
        <v>92</v>
      </c>
    </row>
    <row r="72" spans="1:11">
      <c r="A72" t="s">
        <v>139</v>
      </c>
      <c r="B72" s="13">
        <v>46085</v>
      </c>
      <c r="C72" t="s">
        <v>12</v>
      </c>
      <c r="D72" t="s">
        <v>13</v>
      </c>
      <c r="E72" t="s">
        <v>70</v>
      </c>
      <c r="F72" t="s">
        <v>63</v>
      </c>
      <c r="G72">
        <v>4</v>
      </c>
      <c r="H72">
        <v>1710</v>
      </c>
      <c r="I72">
        <v>0.15</v>
      </c>
      <c r="J72">
        <v>5814</v>
      </c>
      <c r="K72" t="s">
        <v>140</v>
      </c>
    </row>
    <row r="73" spans="1:11">
      <c r="A73" t="s">
        <v>141</v>
      </c>
      <c r="B73" s="13">
        <v>46086</v>
      </c>
      <c r="C73" t="s">
        <v>31</v>
      </c>
      <c r="D73" t="s">
        <v>19</v>
      </c>
      <c r="E73" t="s">
        <v>41</v>
      </c>
      <c r="F73" t="s">
        <v>33</v>
      </c>
      <c r="G73">
        <v>3</v>
      </c>
      <c r="H73">
        <v>1050</v>
      </c>
      <c r="I73">
        <v>0</v>
      </c>
      <c r="J73">
        <v>3150</v>
      </c>
      <c r="K73" t="s">
        <v>142</v>
      </c>
    </row>
    <row r="74" spans="1:11">
      <c r="A74" t="s">
        <v>143</v>
      </c>
      <c r="B74" s="13">
        <v>46087</v>
      </c>
      <c r="C74" t="s">
        <v>22</v>
      </c>
      <c r="D74" t="s">
        <v>19</v>
      </c>
      <c r="E74" t="s">
        <v>62</v>
      </c>
      <c r="F74" t="s">
        <v>63</v>
      </c>
      <c r="G74">
        <v>1</v>
      </c>
      <c r="H74">
        <v>130</v>
      </c>
      <c r="I74">
        <v>0</v>
      </c>
      <c r="J74">
        <v>130</v>
      </c>
      <c r="K74" t="s">
        <v>45</v>
      </c>
    </row>
    <row r="75" spans="1:11">
      <c r="A75" t="s">
        <v>144</v>
      </c>
      <c r="B75" s="13">
        <v>46088</v>
      </c>
      <c r="C75" t="s">
        <v>51</v>
      </c>
      <c r="D75" t="s">
        <v>13</v>
      </c>
      <c r="E75" t="s">
        <v>84</v>
      </c>
      <c r="F75" t="s">
        <v>28</v>
      </c>
      <c r="G75">
        <v>1</v>
      </c>
      <c r="H75">
        <v>40</v>
      </c>
      <c r="I75">
        <v>0</v>
      </c>
      <c r="J75">
        <v>40</v>
      </c>
      <c r="K75" t="s">
        <v>145</v>
      </c>
    </row>
    <row r="76" spans="1:11">
      <c r="A76" t="s">
        <v>146</v>
      </c>
      <c r="B76" s="13">
        <v>46093</v>
      </c>
      <c r="C76" t="s">
        <v>12</v>
      </c>
      <c r="D76" t="s">
        <v>13</v>
      </c>
      <c r="E76" t="s">
        <v>84</v>
      </c>
      <c r="F76" t="s">
        <v>28</v>
      </c>
      <c r="G76">
        <v>1</v>
      </c>
      <c r="H76">
        <v>80</v>
      </c>
      <c r="I76">
        <v>0.05</v>
      </c>
      <c r="J76">
        <v>76</v>
      </c>
      <c r="K76" t="s">
        <v>54</v>
      </c>
    </row>
    <row r="77" spans="1:11">
      <c r="A77" t="s">
        <v>147</v>
      </c>
      <c r="B77" s="13">
        <v>46093</v>
      </c>
      <c r="C77" t="s">
        <v>31</v>
      </c>
      <c r="D77" t="s">
        <v>19</v>
      </c>
      <c r="E77" t="s">
        <v>41</v>
      </c>
      <c r="F77" t="s">
        <v>33</v>
      </c>
      <c r="G77">
        <v>2</v>
      </c>
      <c r="H77">
        <v>1200</v>
      </c>
      <c r="I77">
        <v>0</v>
      </c>
      <c r="J77">
        <v>2400</v>
      </c>
      <c r="K77" t="s">
        <v>114</v>
      </c>
    </row>
    <row r="78" spans="1:11">
      <c r="A78" t="s">
        <v>148</v>
      </c>
      <c r="B78" s="13">
        <v>46094</v>
      </c>
      <c r="C78" t="s">
        <v>31</v>
      </c>
      <c r="D78" t="s">
        <v>13</v>
      </c>
      <c r="E78" t="s">
        <v>70</v>
      </c>
      <c r="F78" t="s">
        <v>63</v>
      </c>
      <c r="G78">
        <v>1</v>
      </c>
      <c r="H78">
        <v>1320</v>
      </c>
      <c r="I78">
        <v>0</v>
      </c>
      <c r="J78">
        <v>1320</v>
      </c>
      <c r="K78" t="s">
        <v>56</v>
      </c>
    </row>
    <row r="79" spans="1:11">
      <c r="A79" t="s">
        <v>149</v>
      </c>
      <c r="B79" s="13">
        <v>46094</v>
      </c>
      <c r="C79" t="s">
        <v>22</v>
      </c>
      <c r="D79" t="s">
        <v>13</v>
      </c>
      <c r="E79" t="s">
        <v>84</v>
      </c>
      <c r="F79" t="s">
        <v>28</v>
      </c>
      <c r="G79">
        <v>2</v>
      </c>
      <c r="H79">
        <v>80</v>
      </c>
      <c r="I79">
        <v>0.15</v>
      </c>
      <c r="J79">
        <v>136</v>
      </c>
      <c r="K79" t="s">
        <v>142</v>
      </c>
    </row>
    <row r="80" spans="1:11">
      <c r="A80" t="s">
        <v>150</v>
      </c>
      <c r="B80" s="13">
        <v>46095</v>
      </c>
      <c r="C80" t="s">
        <v>51</v>
      </c>
      <c r="D80" t="s">
        <v>19</v>
      </c>
      <c r="E80" t="s">
        <v>70</v>
      </c>
      <c r="F80" t="s">
        <v>63</v>
      </c>
      <c r="G80">
        <v>1</v>
      </c>
      <c r="H80">
        <v>1370</v>
      </c>
      <c r="I80">
        <v>0.1</v>
      </c>
      <c r="J80">
        <v>1233</v>
      </c>
      <c r="K80" t="s">
        <v>97</v>
      </c>
    </row>
    <row r="81" spans="1:11">
      <c r="A81" t="s">
        <v>151</v>
      </c>
      <c r="B81" s="13">
        <v>46097</v>
      </c>
      <c r="C81" t="s">
        <v>51</v>
      </c>
      <c r="D81" t="s">
        <v>13</v>
      </c>
      <c r="E81" t="s">
        <v>23</v>
      </c>
      <c r="F81" t="s">
        <v>15</v>
      </c>
      <c r="G81">
        <v>3</v>
      </c>
      <c r="H81">
        <v>6830</v>
      </c>
      <c r="I81">
        <v>0</v>
      </c>
      <c r="J81">
        <v>20490</v>
      </c>
      <c r="K81" t="s">
        <v>75</v>
      </c>
    </row>
    <row r="82" spans="1:11">
      <c r="A82" t="s">
        <v>152</v>
      </c>
      <c r="B82" s="13">
        <v>46097</v>
      </c>
      <c r="C82" t="s">
        <v>22</v>
      </c>
      <c r="D82" t="s">
        <v>19</v>
      </c>
      <c r="E82" t="s">
        <v>41</v>
      </c>
      <c r="F82" t="s">
        <v>33</v>
      </c>
      <c r="G82">
        <v>4</v>
      </c>
      <c r="H82">
        <v>1760</v>
      </c>
      <c r="I82">
        <v>0</v>
      </c>
      <c r="J82">
        <v>7040</v>
      </c>
      <c r="K82" t="s">
        <v>142</v>
      </c>
    </row>
    <row r="83" spans="1:11">
      <c r="A83" t="s">
        <v>153</v>
      </c>
      <c r="B83" s="13">
        <v>46103</v>
      </c>
      <c r="C83" t="s">
        <v>18</v>
      </c>
      <c r="D83" t="s">
        <v>13</v>
      </c>
      <c r="E83" t="s">
        <v>70</v>
      </c>
      <c r="F83" t="s">
        <v>63</v>
      </c>
      <c r="G83">
        <v>3</v>
      </c>
      <c r="H83">
        <v>1470</v>
      </c>
      <c r="I83">
        <v>0</v>
      </c>
      <c r="J83">
        <v>4410</v>
      </c>
      <c r="K83" t="s">
        <v>92</v>
      </c>
    </row>
    <row r="84" spans="1:11">
      <c r="A84" t="s">
        <v>154</v>
      </c>
      <c r="B84" s="13">
        <v>46103</v>
      </c>
      <c r="C84" t="s">
        <v>51</v>
      </c>
      <c r="D84" t="s">
        <v>19</v>
      </c>
      <c r="E84" t="s">
        <v>14</v>
      </c>
      <c r="F84" t="s">
        <v>15</v>
      </c>
      <c r="G84">
        <v>4</v>
      </c>
      <c r="H84">
        <v>6870</v>
      </c>
      <c r="I84">
        <v>0</v>
      </c>
      <c r="J84">
        <v>27480</v>
      </c>
      <c r="K84" t="s">
        <v>90</v>
      </c>
    </row>
    <row r="85" spans="1:11">
      <c r="A85" t="s">
        <v>155</v>
      </c>
      <c r="B85" s="13">
        <v>46104</v>
      </c>
      <c r="C85" t="s">
        <v>18</v>
      </c>
      <c r="D85" t="s">
        <v>19</v>
      </c>
      <c r="E85" t="s">
        <v>84</v>
      </c>
      <c r="F85" t="s">
        <v>28</v>
      </c>
      <c r="G85">
        <v>2</v>
      </c>
      <c r="H85">
        <v>70</v>
      </c>
      <c r="I85">
        <v>0</v>
      </c>
      <c r="J85">
        <v>140</v>
      </c>
      <c r="K85" t="s">
        <v>134</v>
      </c>
    </row>
    <row r="86" spans="1:11">
      <c r="A86" t="s">
        <v>156</v>
      </c>
      <c r="B86" s="13">
        <v>46106</v>
      </c>
      <c r="C86" t="s">
        <v>22</v>
      </c>
      <c r="D86" t="s">
        <v>19</v>
      </c>
      <c r="E86" t="s">
        <v>27</v>
      </c>
      <c r="F86" t="s">
        <v>28</v>
      </c>
      <c r="G86">
        <v>2</v>
      </c>
      <c r="H86">
        <v>110</v>
      </c>
      <c r="I86">
        <v>0.15</v>
      </c>
      <c r="J86">
        <v>187</v>
      </c>
      <c r="K86" t="s">
        <v>42</v>
      </c>
    </row>
    <row r="87" spans="1:11">
      <c r="A87" t="s">
        <v>157</v>
      </c>
      <c r="B87" s="13">
        <v>46106</v>
      </c>
      <c r="C87" t="s">
        <v>18</v>
      </c>
      <c r="D87" t="s">
        <v>19</v>
      </c>
      <c r="E87" t="s">
        <v>70</v>
      </c>
      <c r="F87" t="s">
        <v>63</v>
      </c>
      <c r="G87">
        <v>1</v>
      </c>
      <c r="H87">
        <v>960</v>
      </c>
      <c r="I87">
        <v>0.15</v>
      </c>
      <c r="J87">
        <v>816</v>
      </c>
      <c r="K87" t="s">
        <v>106</v>
      </c>
    </row>
    <row r="88" spans="1:11">
      <c r="A88" t="s">
        <v>158</v>
      </c>
      <c r="B88" s="13">
        <v>46108</v>
      </c>
      <c r="C88" t="s">
        <v>51</v>
      </c>
      <c r="D88" t="s">
        <v>13</v>
      </c>
      <c r="E88" t="s">
        <v>27</v>
      </c>
      <c r="F88" t="s">
        <v>28</v>
      </c>
      <c r="G88">
        <v>3</v>
      </c>
      <c r="H88">
        <v>190</v>
      </c>
      <c r="I88">
        <v>0.05</v>
      </c>
      <c r="J88">
        <v>541.5</v>
      </c>
      <c r="K88" t="s">
        <v>85</v>
      </c>
    </row>
    <row r="89" spans="1:11">
      <c r="A89" t="s">
        <v>159</v>
      </c>
      <c r="B89" s="13">
        <v>46110</v>
      </c>
      <c r="C89" t="s">
        <v>51</v>
      </c>
      <c r="D89" t="s">
        <v>19</v>
      </c>
      <c r="E89" t="s">
        <v>84</v>
      </c>
      <c r="F89" t="s">
        <v>28</v>
      </c>
      <c r="G89">
        <v>2</v>
      </c>
      <c r="H89">
        <v>70</v>
      </c>
      <c r="I89">
        <v>0</v>
      </c>
      <c r="J89">
        <v>140</v>
      </c>
      <c r="K89" t="s">
        <v>24</v>
      </c>
    </row>
    <row r="90" spans="1:11">
      <c r="A90" t="s">
        <v>160</v>
      </c>
      <c r="B90" s="13">
        <v>46110</v>
      </c>
      <c r="C90" t="s">
        <v>12</v>
      </c>
      <c r="D90" t="s">
        <v>13</v>
      </c>
      <c r="E90" t="s">
        <v>41</v>
      </c>
      <c r="F90" t="s">
        <v>33</v>
      </c>
      <c r="G90">
        <v>3</v>
      </c>
      <c r="H90">
        <v>1480</v>
      </c>
      <c r="I90">
        <v>0.15</v>
      </c>
      <c r="J90">
        <v>3774</v>
      </c>
      <c r="K90" t="s">
        <v>134</v>
      </c>
    </row>
    <row r="91" spans="1:11">
      <c r="A91" t="s">
        <v>161</v>
      </c>
      <c r="B91" s="13">
        <v>46110</v>
      </c>
      <c r="C91" t="s">
        <v>12</v>
      </c>
      <c r="D91" t="s">
        <v>13</v>
      </c>
      <c r="E91" t="s">
        <v>41</v>
      </c>
      <c r="F91" t="s">
        <v>33</v>
      </c>
      <c r="G91">
        <v>1</v>
      </c>
      <c r="H91">
        <v>1720</v>
      </c>
      <c r="I91">
        <v>0</v>
      </c>
      <c r="J91">
        <v>1720</v>
      </c>
      <c r="K91" t="s">
        <v>42</v>
      </c>
    </row>
    <row r="92" spans="1:11">
      <c r="A92" t="s">
        <v>162</v>
      </c>
      <c r="B92" s="13">
        <v>46111</v>
      </c>
      <c r="C92" t="s">
        <v>22</v>
      </c>
      <c r="D92" t="s">
        <v>19</v>
      </c>
      <c r="E92" t="s">
        <v>23</v>
      </c>
      <c r="F92" t="s">
        <v>15</v>
      </c>
      <c r="G92">
        <v>2</v>
      </c>
      <c r="H92">
        <v>6050</v>
      </c>
      <c r="I92">
        <v>0</v>
      </c>
      <c r="J92">
        <v>12100</v>
      </c>
      <c r="K92" t="s">
        <v>58</v>
      </c>
    </row>
    <row r="93" spans="1:11">
      <c r="A93" t="s">
        <v>163</v>
      </c>
      <c r="B93" s="13">
        <v>46111</v>
      </c>
      <c r="C93" t="s">
        <v>51</v>
      </c>
      <c r="D93" t="s">
        <v>13</v>
      </c>
      <c r="E93" t="s">
        <v>84</v>
      </c>
      <c r="F93" t="s">
        <v>28</v>
      </c>
      <c r="G93">
        <v>2</v>
      </c>
      <c r="H93">
        <v>60</v>
      </c>
      <c r="I93">
        <v>0</v>
      </c>
      <c r="J93">
        <v>120</v>
      </c>
      <c r="K93" t="s">
        <v>75</v>
      </c>
    </row>
    <row r="94" spans="1:11">
      <c r="A94" t="s">
        <v>164</v>
      </c>
      <c r="B94" s="13">
        <v>46111</v>
      </c>
      <c r="C94" t="s">
        <v>22</v>
      </c>
      <c r="D94" t="s">
        <v>19</v>
      </c>
      <c r="E94" t="s">
        <v>23</v>
      </c>
      <c r="F94" t="s">
        <v>15</v>
      </c>
      <c r="G94">
        <v>1</v>
      </c>
      <c r="H94">
        <v>8190</v>
      </c>
      <c r="I94">
        <v>0</v>
      </c>
      <c r="J94">
        <v>8190</v>
      </c>
      <c r="K94" t="s">
        <v>111</v>
      </c>
    </row>
    <row r="95" spans="1:11">
      <c r="A95" t="s">
        <v>165</v>
      </c>
      <c r="B95" s="13">
        <v>46112</v>
      </c>
      <c r="C95" t="s">
        <v>18</v>
      </c>
      <c r="D95" t="s">
        <v>19</v>
      </c>
      <c r="E95" t="s">
        <v>84</v>
      </c>
      <c r="F95" t="s">
        <v>28</v>
      </c>
      <c r="G95">
        <v>2</v>
      </c>
      <c r="H95">
        <v>50</v>
      </c>
      <c r="I95">
        <v>0.1</v>
      </c>
      <c r="J95">
        <v>90</v>
      </c>
      <c r="K95" t="s">
        <v>60</v>
      </c>
    </row>
    <row r="96" spans="1:11">
      <c r="A96" t="s">
        <v>166</v>
      </c>
      <c r="B96" s="13">
        <v>46112</v>
      </c>
      <c r="C96" t="s">
        <v>12</v>
      </c>
      <c r="D96" t="s">
        <v>19</v>
      </c>
      <c r="E96" t="s">
        <v>62</v>
      </c>
      <c r="F96" t="s">
        <v>63</v>
      </c>
      <c r="G96">
        <v>4</v>
      </c>
      <c r="H96">
        <v>150</v>
      </c>
      <c r="I96">
        <v>0.05</v>
      </c>
      <c r="J96">
        <v>570</v>
      </c>
      <c r="K96" t="s">
        <v>100</v>
      </c>
    </row>
    <row r="97" spans="1:11">
      <c r="A97" t="s">
        <v>167</v>
      </c>
      <c r="B97" s="13">
        <v>46114</v>
      </c>
      <c r="C97" t="s">
        <v>22</v>
      </c>
      <c r="D97" t="s">
        <v>19</v>
      </c>
      <c r="E97" t="s">
        <v>62</v>
      </c>
      <c r="F97" t="s">
        <v>63</v>
      </c>
      <c r="G97">
        <v>1</v>
      </c>
      <c r="H97">
        <v>190</v>
      </c>
      <c r="I97">
        <v>0</v>
      </c>
      <c r="J97">
        <v>190</v>
      </c>
      <c r="K97" t="s">
        <v>42</v>
      </c>
    </row>
    <row r="98" spans="1:11">
      <c r="A98" t="s">
        <v>168</v>
      </c>
      <c r="B98" s="13">
        <v>46114</v>
      </c>
      <c r="C98" t="s">
        <v>12</v>
      </c>
      <c r="D98" t="s">
        <v>19</v>
      </c>
      <c r="E98" t="s">
        <v>14</v>
      </c>
      <c r="F98" t="s">
        <v>15</v>
      </c>
      <c r="G98">
        <v>2</v>
      </c>
      <c r="H98">
        <v>6370</v>
      </c>
      <c r="I98">
        <v>0</v>
      </c>
      <c r="J98">
        <v>12740</v>
      </c>
      <c r="K98" t="s">
        <v>54</v>
      </c>
    </row>
    <row r="99" spans="1:11">
      <c r="A99" t="s">
        <v>169</v>
      </c>
      <c r="B99" s="13">
        <v>46115</v>
      </c>
      <c r="C99" t="s">
        <v>31</v>
      </c>
      <c r="D99" t="s">
        <v>19</v>
      </c>
      <c r="E99" t="s">
        <v>14</v>
      </c>
      <c r="F99" t="s">
        <v>15</v>
      </c>
      <c r="G99">
        <v>1</v>
      </c>
      <c r="H99">
        <v>7400</v>
      </c>
      <c r="I99">
        <v>0.05</v>
      </c>
      <c r="J99">
        <v>7030</v>
      </c>
      <c r="K99" t="s">
        <v>75</v>
      </c>
    </row>
    <row r="100" spans="1:11">
      <c r="A100" t="s">
        <v>170</v>
      </c>
      <c r="B100" s="13">
        <v>46117</v>
      </c>
      <c r="C100" t="s">
        <v>18</v>
      </c>
      <c r="D100" t="s">
        <v>19</v>
      </c>
      <c r="E100" t="s">
        <v>14</v>
      </c>
      <c r="F100" t="s">
        <v>15</v>
      </c>
      <c r="G100">
        <v>2</v>
      </c>
      <c r="H100">
        <v>4150</v>
      </c>
      <c r="I100">
        <v>0</v>
      </c>
      <c r="J100">
        <v>8300</v>
      </c>
      <c r="K100" t="s">
        <v>128</v>
      </c>
    </row>
    <row r="101" spans="1:11">
      <c r="A101" t="s">
        <v>171</v>
      </c>
      <c r="B101" s="13">
        <v>46118</v>
      </c>
      <c r="C101" t="s">
        <v>18</v>
      </c>
      <c r="D101" t="s">
        <v>19</v>
      </c>
      <c r="E101" t="s">
        <v>70</v>
      </c>
      <c r="F101" t="s">
        <v>63</v>
      </c>
      <c r="G101">
        <v>1</v>
      </c>
      <c r="H101">
        <v>1220</v>
      </c>
      <c r="I101">
        <v>0</v>
      </c>
      <c r="J101">
        <v>1220</v>
      </c>
      <c r="K101" t="s">
        <v>136</v>
      </c>
    </row>
    <row r="102" spans="1:11">
      <c r="A102" t="s">
        <v>172</v>
      </c>
      <c r="B102" s="13">
        <v>46118</v>
      </c>
      <c r="C102" t="s">
        <v>12</v>
      </c>
      <c r="D102" t="s">
        <v>19</v>
      </c>
      <c r="E102" t="s">
        <v>32</v>
      </c>
      <c r="F102" t="s">
        <v>33</v>
      </c>
      <c r="G102">
        <v>1</v>
      </c>
      <c r="H102">
        <v>39800</v>
      </c>
      <c r="I102">
        <v>0</v>
      </c>
      <c r="J102">
        <v>39800</v>
      </c>
      <c r="K102" t="s">
        <v>85</v>
      </c>
    </row>
    <row r="103" spans="1:11">
      <c r="A103" t="s">
        <v>173</v>
      </c>
      <c r="B103" s="13">
        <v>46118</v>
      </c>
      <c r="C103" t="s">
        <v>51</v>
      </c>
      <c r="D103" t="s">
        <v>13</v>
      </c>
      <c r="E103" t="s">
        <v>70</v>
      </c>
      <c r="F103" t="s">
        <v>63</v>
      </c>
      <c r="G103">
        <v>1</v>
      </c>
      <c r="H103">
        <v>1540</v>
      </c>
      <c r="I103">
        <v>0</v>
      </c>
      <c r="J103">
        <v>1540</v>
      </c>
      <c r="K103" t="s">
        <v>72</v>
      </c>
    </row>
    <row r="104" spans="1:11">
      <c r="A104" t="s">
        <v>174</v>
      </c>
      <c r="B104" s="13">
        <v>46121</v>
      </c>
      <c r="C104" t="s">
        <v>22</v>
      </c>
      <c r="D104" t="s">
        <v>19</v>
      </c>
      <c r="E104" t="s">
        <v>14</v>
      </c>
      <c r="F104" t="s">
        <v>15</v>
      </c>
      <c r="G104">
        <v>1</v>
      </c>
      <c r="H104">
        <v>6500</v>
      </c>
      <c r="I104">
        <v>0.05</v>
      </c>
      <c r="J104">
        <v>6175</v>
      </c>
      <c r="K104" t="s">
        <v>52</v>
      </c>
    </row>
    <row r="105" spans="1:11">
      <c r="A105" t="s">
        <v>175</v>
      </c>
      <c r="B105" s="13">
        <v>46122</v>
      </c>
      <c r="C105" t="s">
        <v>18</v>
      </c>
      <c r="D105" t="s">
        <v>13</v>
      </c>
      <c r="E105" t="s">
        <v>62</v>
      </c>
      <c r="F105" t="s">
        <v>63</v>
      </c>
      <c r="G105">
        <v>1</v>
      </c>
      <c r="H105">
        <v>310</v>
      </c>
      <c r="I105">
        <v>0.15</v>
      </c>
      <c r="J105">
        <v>263.5</v>
      </c>
      <c r="K105" t="s">
        <v>29</v>
      </c>
    </row>
    <row r="106" spans="1:11">
      <c r="A106" t="s">
        <v>176</v>
      </c>
      <c r="B106" s="13">
        <v>46123</v>
      </c>
      <c r="C106" t="s">
        <v>22</v>
      </c>
      <c r="D106" t="s">
        <v>19</v>
      </c>
      <c r="E106" t="s">
        <v>27</v>
      </c>
      <c r="F106" t="s">
        <v>28</v>
      </c>
      <c r="G106">
        <v>2</v>
      </c>
      <c r="H106">
        <v>200</v>
      </c>
      <c r="I106">
        <v>0</v>
      </c>
      <c r="J106">
        <v>400</v>
      </c>
      <c r="K106" t="s">
        <v>65</v>
      </c>
    </row>
    <row r="107" spans="1:11">
      <c r="A107" t="s">
        <v>177</v>
      </c>
      <c r="B107" s="13">
        <v>46125</v>
      </c>
      <c r="C107" t="s">
        <v>31</v>
      </c>
      <c r="D107" t="s">
        <v>13</v>
      </c>
      <c r="E107" t="s">
        <v>70</v>
      </c>
      <c r="F107" t="s">
        <v>63</v>
      </c>
      <c r="G107">
        <v>2</v>
      </c>
      <c r="H107">
        <v>1290</v>
      </c>
      <c r="I107">
        <v>0</v>
      </c>
      <c r="J107">
        <v>2580</v>
      </c>
      <c r="K107" t="s">
        <v>60</v>
      </c>
    </row>
    <row r="108" spans="1:11">
      <c r="A108" t="s">
        <v>178</v>
      </c>
      <c r="B108" s="13">
        <v>46125</v>
      </c>
      <c r="C108" t="s">
        <v>18</v>
      </c>
      <c r="D108" t="s">
        <v>19</v>
      </c>
      <c r="E108" t="s">
        <v>62</v>
      </c>
      <c r="F108" t="s">
        <v>63</v>
      </c>
      <c r="G108">
        <v>1</v>
      </c>
      <c r="H108">
        <v>210</v>
      </c>
      <c r="I108">
        <v>0.15</v>
      </c>
      <c r="J108">
        <v>178.5</v>
      </c>
      <c r="K108" t="s">
        <v>42</v>
      </c>
    </row>
    <row r="109" spans="1:11">
      <c r="A109" t="s">
        <v>179</v>
      </c>
      <c r="B109" s="13">
        <v>46125</v>
      </c>
      <c r="C109" t="s">
        <v>12</v>
      </c>
      <c r="D109" t="s">
        <v>19</v>
      </c>
      <c r="E109" t="s">
        <v>70</v>
      </c>
      <c r="F109" t="s">
        <v>63</v>
      </c>
      <c r="G109">
        <v>1</v>
      </c>
      <c r="H109">
        <v>1460</v>
      </c>
      <c r="I109">
        <v>0.05</v>
      </c>
      <c r="J109">
        <v>1387</v>
      </c>
      <c r="K109" t="s">
        <v>52</v>
      </c>
    </row>
    <row r="110" spans="1:11">
      <c r="A110" t="s">
        <v>180</v>
      </c>
      <c r="B110" s="13">
        <v>46125</v>
      </c>
      <c r="C110" t="s">
        <v>51</v>
      </c>
      <c r="D110" t="s">
        <v>13</v>
      </c>
      <c r="E110" t="s">
        <v>14</v>
      </c>
      <c r="F110" t="s">
        <v>15</v>
      </c>
      <c r="G110">
        <v>1</v>
      </c>
      <c r="H110">
        <v>5540</v>
      </c>
      <c r="I110">
        <v>0</v>
      </c>
      <c r="J110">
        <v>5540</v>
      </c>
      <c r="K110" t="s">
        <v>87</v>
      </c>
    </row>
    <row r="111" spans="1:11">
      <c r="A111" t="s">
        <v>181</v>
      </c>
      <c r="B111" s="13">
        <v>46126</v>
      </c>
      <c r="C111" t="s">
        <v>12</v>
      </c>
      <c r="D111" t="s">
        <v>13</v>
      </c>
      <c r="E111" t="s">
        <v>14</v>
      </c>
      <c r="F111" t="s">
        <v>15</v>
      </c>
      <c r="G111">
        <v>2</v>
      </c>
      <c r="H111">
        <v>5010</v>
      </c>
      <c r="I111">
        <v>0</v>
      </c>
      <c r="J111">
        <v>10020</v>
      </c>
      <c r="K111" t="s">
        <v>38</v>
      </c>
    </row>
    <row r="112" spans="1:11">
      <c r="A112" t="s">
        <v>182</v>
      </c>
      <c r="B112" s="13">
        <v>46126</v>
      </c>
      <c r="C112" t="s">
        <v>22</v>
      </c>
      <c r="D112" t="s">
        <v>13</v>
      </c>
      <c r="E112" t="s">
        <v>32</v>
      </c>
      <c r="F112" t="s">
        <v>33</v>
      </c>
      <c r="G112">
        <v>1</v>
      </c>
      <c r="H112">
        <v>40160</v>
      </c>
      <c r="I112">
        <v>0.15</v>
      </c>
      <c r="J112">
        <v>34136</v>
      </c>
      <c r="K112" t="s">
        <v>20</v>
      </c>
    </row>
    <row r="113" spans="1:11">
      <c r="A113" t="s">
        <v>183</v>
      </c>
      <c r="B113" s="13">
        <v>46126</v>
      </c>
      <c r="C113" t="s">
        <v>22</v>
      </c>
      <c r="D113" t="s">
        <v>19</v>
      </c>
      <c r="E113" t="s">
        <v>32</v>
      </c>
      <c r="F113" t="s">
        <v>33</v>
      </c>
      <c r="G113">
        <v>2</v>
      </c>
      <c r="H113">
        <v>40980</v>
      </c>
      <c r="I113">
        <v>0.05</v>
      </c>
      <c r="J113">
        <v>77862</v>
      </c>
      <c r="K113" t="s">
        <v>184</v>
      </c>
    </row>
    <row r="114" spans="1:11">
      <c r="A114" t="s">
        <v>185</v>
      </c>
      <c r="B114" s="13">
        <v>46128</v>
      </c>
      <c r="C114" t="s">
        <v>12</v>
      </c>
      <c r="D114" t="s">
        <v>19</v>
      </c>
      <c r="E114" t="s">
        <v>23</v>
      </c>
      <c r="F114" t="s">
        <v>15</v>
      </c>
      <c r="G114">
        <v>1</v>
      </c>
      <c r="H114">
        <v>7620</v>
      </c>
      <c r="I114">
        <v>0</v>
      </c>
      <c r="J114">
        <v>7620</v>
      </c>
      <c r="K114" t="s">
        <v>24</v>
      </c>
    </row>
    <row r="115" spans="1:11">
      <c r="A115" t="s">
        <v>186</v>
      </c>
      <c r="B115" s="13">
        <v>46129</v>
      </c>
      <c r="C115" t="s">
        <v>18</v>
      </c>
      <c r="D115" t="s">
        <v>13</v>
      </c>
      <c r="E115" t="s">
        <v>70</v>
      </c>
      <c r="F115" t="s">
        <v>63</v>
      </c>
      <c r="G115">
        <v>2</v>
      </c>
      <c r="H115">
        <v>780</v>
      </c>
      <c r="I115">
        <v>0</v>
      </c>
      <c r="J115">
        <v>1560</v>
      </c>
      <c r="K115" t="s">
        <v>54</v>
      </c>
    </row>
    <row r="116" spans="1:11">
      <c r="A116" t="s">
        <v>187</v>
      </c>
      <c r="B116" s="13">
        <v>46130</v>
      </c>
      <c r="C116" t="s">
        <v>12</v>
      </c>
      <c r="D116" t="s">
        <v>19</v>
      </c>
      <c r="E116" t="s">
        <v>84</v>
      </c>
      <c r="F116" t="s">
        <v>28</v>
      </c>
      <c r="G116">
        <v>1</v>
      </c>
      <c r="H116">
        <v>80</v>
      </c>
      <c r="I116">
        <v>0.1</v>
      </c>
      <c r="J116">
        <v>72</v>
      </c>
      <c r="K116" t="s">
        <v>90</v>
      </c>
    </row>
    <row r="117" spans="1:11">
      <c r="A117" t="s">
        <v>188</v>
      </c>
      <c r="B117" s="13">
        <v>46130</v>
      </c>
      <c r="C117" t="s">
        <v>12</v>
      </c>
      <c r="D117" t="s">
        <v>13</v>
      </c>
      <c r="E117" t="s">
        <v>23</v>
      </c>
      <c r="F117" t="s">
        <v>15</v>
      </c>
      <c r="G117">
        <v>1</v>
      </c>
      <c r="H117">
        <v>4850</v>
      </c>
      <c r="I117">
        <v>0.1</v>
      </c>
      <c r="J117">
        <v>4365</v>
      </c>
      <c r="K117" t="s">
        <v>77</v>
      </c>
    </row>
    <row r="118" spans="1:11">
      <c r="A118" t="s">
        <v>189</v>
      </c>
      <c r="B118" s="13">
        <v>46133</v>
      </c>
      <c r="C118" t="s">
        <v>51</v>
      </c>
      <c r="D118" t="s">
        <v>19</v>
      </c>
      <c r="E118" t="s">
        <v>27</v>
      </c>
      <c r="F118" t="s">
        <v>28</v>
      </c>
      <c r="G118">
        <v>1</v>
      </c>
      <c r="H118">
        <v>210</v>
      </c>
      <c r="I118">
        <v>0.1</v>
      </c>
      <c r="J118">
        <v>189</v>
      </c>
      <c r="K118" t="s">
        <v>24</v>
      </c>
    </row>
    <row r="119" spans="1:11">
      <c r="A119" t="s">
        <v>190</v>
      </c>
      <c r="B119" s="13">
        <v>46133</v>
      </c>
      <c r="C119" t="s">
        <v>51</v>
      </c>
      <c r="D119" t="s">
        <v>13</v>
      </c>
      <c r="E119" t="s">
        <v>84</v>
      </c>
      <c r="F119" t="s">
        <v>28</v>
      </c>
      <c r="G119">
        <v>1</v>
      </c>
      <c r="H119">
        <v>80</v>
      </c>
      <c r="I119">
        <v>0</v>
      </c>
      <c r="J119">
        <v>80</v>
      </c>
      <c r="K119" t="s">
        <v>117</v>
      </c>
    </row>
    <row r="120" spans="1:11">
      <c r="A120" t="s">
        <v>191</v>
      </c>
      <c r="B120" s="13">
        <v>46138</v>
      </c>
      <c r="C120" t="s">
        <v>12</v>
      </c>
      <c r="D120" t="s">
        <v>19</v>
      </c>
      <c r="E120" t="s">
        <v>41</v>
      </c>
      <c r="F120" t="s">
        <v>33</v>
      </c>
      <c r="G120">
        <v>2</v>
      </c>
      <c r="H120">
        <v>900</v>
      </c>
      <c r="I120">
        <v>0</v>
      </c>
      <c r="J120">
        <v>1800</v>
      </c>
      <c r="K120" t="s">
        <v>60</v>
      </c>
    </row>
    <row r="121" spans="1:11">
      <c r="A121" t="s">
        <v>192</v>
      </c>
      <c r="B121" s="13">
        <v>46139</v>
      </c>
      <c r="C121" t="s">
        <v>18</v>
      </c>
      <c r="D121" t="s">
        <v>19</v>
      </c>
      <c r="E121" t="s">
        <v>84</v>
      </c>
      <c r="F121" t="s">
        <v>28</v>
      </c>
      <c r="G121">
        <v>2</v>
      </c>
      <c r="H121">
        <v>80</v>
      </c>
      <c r="I121">
        <v>0</v>
      </c>
      <c r="J121">
        <v>160</v>
      </c>
      <c r="K121" t="s">
        <v>36</v>
      </c>
    </row>
    <row r="122" spans="1:11">
      <c r="A122" t="s">
        <v>193</v>
      </c>
      <c r="B122" s="13">
        <v>46140</v>
      </c>
      <c r="C122" t="s">
        <v>22</v>
      </c>
      <c r="D122" t="s">
        <v>13</v>
      </c>
      <c r="E122" t="s">
        <v>84</v>
      </c>
      <c r="F122" t="s">
        <v>28</v>
      </c>
      <c r="G122">
        <v>1</v>
      </c>
      <c r="H122">
        <v>80</v>
      </c>
      <c r="I122">
        <v>0</v>
      </c>
      <c r="J122">
        <v>80</v>
      </c>
      <c r="K122" t="s">
        <v>194</v>
      </c>
    </row>
    <row r="123" spans="1:11">
      <c r="A123" t="s">
        <v>195</v>
      </c>
      <c r="B123" s="13">
        <v>46143</v>
      </c>
      <c r="C123" t="s">
        <v>18</v>
      </c>
      <c r="D123" t="s">
        <v>19</v>
      </c>
      <c r="E123" t="s">
        <v>32</v>
      </c>
      <c r="F123" t="s">
        <v>33</v>
      </c>
      <c r="G123">
        <v>2</v>
      </c>
      <c r="H123">
        <v>38880</v>
      </c>
      <c r="I123">
        <v>0</v>
      </c>
      <c r="J123">
        <v>77760</v>
      </c>
      <c r="K123" t="s">
        <v>65</v>
      </c>
    </row>
    <row r="124" spans="1:11">
      <c r="A124" t="s">
        <v>196</v>
      </c>
      <c r="B124" s="13">
        <v>46143</v>
      </c>
      <c r="C124" t="s">
        <v>22</v>
      </c>
      <c r="D124" t="s">
        <v>19</v>
      </c>
      <c r="E124" t="s">
        <v>14</v>
      </c>
      <c r="F124" t="s">
        <v>15</v>
      </c>
      <c r="G124">
        <v>1</v>
      </c>
      <c r="H124">
        <v>6860</v>
      </c>
      <c r="I124">
        <v>0</v>
      </c>
      <c r="J124">
        <v>6860</v>
      </c>
      <c r="K124" t="s">
        <v>49</v>
      </c>
    </row>
    <row r="125" spans="1:11">
      <c r="A125" t="s">
        <v>197</v>
      </c>
      <c r="B125" s="13">
        <v>46144</v>
      </c>
      <c r="C125" t="s">
        <v>22</v>
      </c>
      <c r="D125" t="s">
        <v>19</v>
      </c>
      <c r="E125" t="s">
        <v>32</v>
      </c>
      <c r="F125" t="s">
        <v>33</v>
      </c>
      <c r="G125">
        <v>4</v>
      </c>
      <c r="H125">
        <v>41360</v>
      </c>
      <c r="I125">
        <v>0</v>
      </c>
      <c r="J125">
        <v>165440</v>
      </c>
      <c r="K125" t="s">
        <v>184</v>
      </c>
    </row>
    <row r="126" spans="1:11">
      <c r="A126" t="s">
        <v>198</v>
      </c>
      <c r="B126" s="13">
        <v>46145</v>
      </c>
      <c r="C126" t="s">
        <v>22</v>
      </c>
      <c r="D126" t="s">
        <v>19</v>
      </c>
      <c r="E126" t="s">
        <v>84</v>
      </c>
      <c r="F126" t="s">
        <v>28</v>
      </c>
      <c r="G126">
        <v>3</v>
      </c>
      <c r="H126">
        <v>80</v>
      </c>
      <c r="I126">
        <v>0</v>
      </c>
      <c r="J126">
        <v>240</v>
      </c>
      <c r="K126" t="s">
        <v>119</v>
      </c>
    </row>
    <row r="127" spans="1:11">
      <c r="A127" t="s">
        <v>199</v>
      </c>
      <c r="B127" s="13">
        <v>46146</v>
      </c>
      <c r="C127" t="s">
        <v>12</v>
      </c>
      <c r="D127" t="s">
        <v>19</v>
      </c>
      <c r="E127" t="s">
        <v>14</v>
      </c>
      <c r="F127" t="s">
        <v>15</v>
      </c>
      <c r="G127">
        <v>4</v>
      </c>
      <c r="H127">
        <v>4040</v>
      </c>
      <c r="I127">
        <v>0.05</v>
      </c>
      <c r="J127">
        <v>15352</v>
      </c>
      <c r="K127" t="s">
        <v>49</v>
      </c>
    </row>
    <row r="128" spans="1:11">
      <c r="A128" t="s">
        <v>200</v>
      </c>
      <c r="B128" s="13">
        <v>46146</v>
      </c>
      <c r="C128" t="s">
        <v>18</v>
      </c>
      <c r="D128" t="s">
        <v>19</v>
      </c>
      <c r="E128" t="s">
        <v>84</v>
      </c>
      <c r="F128" t="s">
        <v>28</v>
      </c>
      <c r="G128">
        <v>2</v>
      </c>
      <c r="H128">
        <v>40</v>
      </c>
      <c r="I128">
        <v>0.05</v>
      </c>
      <c r="J128">
        <v>76</v>
      </c>
      <c r="K128" t="s">
        <v>100</v>
      </c>
    </row>
    <row r="129" spans="1:11">
      <c r="A129" t="s">
        <v>201</v>
      </c>
      <c r="B129" s="13">
        <v>46150</v>
      </c>
      <c r="C129" t="s">
        <v>31</v>
      </c>
      <c r="D129" t="s">
        <v>19</v>
      </c>
      <c r="E129" t="s">
        <v>14</v>
      </c>
      <c r="F129" t="s">
        <v>15</v>
      </c>
      <c r="G129">
        <v>2</v>
      </c>
      <c r="H129">
        <v>5910</v>
      </c>
      <c r="I129">
        <v>0</v>
      </c>
      <c r="J129">
        <v>11820</v>
      </c>
      <c r="K129" t="s">
        <v>202</v>
      </c>
    </row>
    <row r="130" spans="1:11">
      <c r="A130" t="s">
        <v>203</v>
      </c>
      <c r="B130" s="13">
        <v>46151</v>
      </c>
      <c r="C130" t="s">
        <v>22</v>
      </c>
      <c r="D130" t="s">
        <v>13</v>
      </c>
      <c r="E130" t="s">
        <v>41</v>
      </c>
      <c r="F130" t="s">
        <v>33</v>
      </c>
      <c r="G130">
        <v>1</v>
      </c>
      <c r="H130">
        <v>1660</v>
      </c>
      <c r="I130">
        <v>0.15</v>
      </c>
      <c r="J130">
        <v>1411</v>
      </c>
      <c r="K130" t="s">
        <v>204</v>
      </c>
    </row>
    <row r="131" spans="1:11">
      <c r="A131" t="s">
        <v>205</v>
      </c>
      <c r="B131" s="13">
        <v>46151</v>
      </c>
      <c r="C131" t="s">
        <v>12</v>
      </c>
      <c r="D131" t="s">
        <v>19</v>
      </c>
      <c r="E131" t="s">
        <v>27</v>
      </c>
      <c r="F131" t="s">
        <v>28</v>
      </c>
      <c r="G131">
        <v>3</v>
      </c>
      <c r="H131">
        <v>180</v>
      </c>
      <c r="I131">
        <v>0</v>
      </c>
      <c r="J131">
        <v>540</v>
      </c>
      <c r="K131" t="s">
        <v>106</v>
      </c>
    </row>
    <row r="132" spans="1:11">
      <c r="A132" t="s">
        <v>206</v>
      </c>
      <c r="B132" s="13">
        <v>46152</v>
      </c>
      <c r="C132" t="s">
        <v>51</v>
      </c>
      <c r="D132" t="s">
        <v>19</v>
      </c>
      <c r="E132" t="s">
        <v>62</v>
      </c>
      <c r="F132" t="s">
        <v>63</v>
      </c>
      <c r="G132">
        <v>4</v>
      </c>
      <c r="H132">
        <v>330</v>
      </c>
      <c r="I132">
        <v>0.1</v>
      </c>
      <c r="J132">
        <v>1188</v>
      </c>
      <c r="K132" t="s">
        <v>111</v>
      </c>
    </row>
    <row r="133" spans="1:11">
      <c r="A133" t="s">
        <v>207</v>
      </c>
      <c r="B133" s="13">
        <v>46152</v>
      </c>
      <c r="C133" t="s">
        <v>31</v>
      </c>
      <c r="D133" t="s">
        <v>19</v>
      </c>
      <c r="E133" t="s">
        <v>14</v>
      </c>
      <c r="F133" t="s">
        <v>15</v>
      </c>
      <c r="G133">
        <v>2</v>
      </c>
      <c r="H133">
        <v>6910</v>
      </c>
      <c r="I133">
        <v>0.1</v>
      </c>
      <c r="J133">
        <v>12438</v>
      </c>
      <c r="K133" t="s">
        <v>20</v>
      </c>
    </row>
    <row r="134" spans="1:11">
      <c r="A134" t="s">
        <v>208</v>
      </c>
      <c r="B134" s="13">
        <v>46153</v>
      </c>
      <c r="C134" t="s">
        <v>31</v>
      </c>
      <c r="D134" t="s">
        <v>19</v>
      </c>
      <c r="E134" t="s">
        <v>84</v>
      </c>
      <c r="F134" t="s">
        <v>28</v>
      </c>
      <c r="G134">
        <v>4</v>
      </c>
      <c r="H134">
        <v>70</v>
      </c>
      <c r="I134">
        <v>0.1</v>
      </c>
      <c r="J134">
        <v>252</v>
      </c>
      <c r="K134" t="s">
        <v>42</v>
      </c>
    </row>
    <row r="135" spans="1:11">
      <c r="A135" t="s">
        <v>209</v>
      </c>
      <c r="B135" s="13">
        <v>46153</v>
      </c>
      <c r="C135" t="s">
        <v>51</v>
      </c>
      <c r="D135" t="s">
        <v>19</v>
      </c>
      <c r="E135" t="s">
        <v>62</v>
      </c>
      <c r="F135" t="s">
        <v>63</v>
      </c>
      <c r="G135">
        <v>2</v>
      </c>
      <c r="H135">
        <v>170</v>
      </c>
      <c r="I135">
        <v>0</v>
      </c>
      <c r="J135">
        <v>340</v>
      </c>
      <c r="K135" t="s">
        <v>85</v>
      </c>
    </row>
    <row r="136" spans="1:11">
      <c r="A136" t="s">
        <v>210</v>
      </c>
      <c r="B136" s="13">
        <v>46153</v>
      </c>
      <c r="C136" t="s">
        <v>18</v>
      </c>
      <c r="D136" t="s">
        <v>19</v>
      </c>
      <c r="E136" t="s">
        <v>70</v>
      </c>
      <c r="F136" t="s">
        <v>63</v>
      </c>
      <c r="G136">
        <v>1</v>
      </c>
      <c r="H136">
        <v>1560</v>
      </c>
      <c r="I136">
        <v>0.15</v>
      </c>
      <c r="J136">
        <v>1326</v>
      </c>
      <c r="K136" t="s">
        <v>60</v>
      </c>
    </row>
    <row r="137" spans="1:11">
      <c r="A137" t="s">
        <v>211</v>
      </c>
      <c r="B137" s="13">
        <v>46154</v>
      </c>
      <c r="C137" t="s">
        <v>51</v>
      </c>
      <c r="D137" t="s">
        <v>19</v>
      </c>
      <c r="E137" t="s">
        <v>27</v>
      </c>
      <c r="F137" t="s">
        <v>28</v>
      </c>
      <c r="G137">
        <v>1</v>
      </c>
      <c r="H137">
        <v>110</v>
      </c>
      <c r="I137">
        <v>0</v>
      </c>
      <c r="J137">
        <v>110</v>
      </c>
      <c r="K137" t="s">
        <v>106</v>
      </c>
    </row>
    <row r="138" spans="1:11">
      <c r="A138" t="s">
        <v>212</v>
      </c>
      <c r="B138" s="13">
        <v>46154</v>
      </c>
      <c r="C138" t="s">
        <v>31</v>
      </c>
      <c r="D138" t="s">
        <v>19</v>
      </c>
      <c r="E138" t="s">
        <v>41</v>
      </c>
      <c r="F138" t="s">
        <v>33</v>
      </c>
      <c r="G138">
        <v>1</v>
      </c>
      <c r="H138">
        <v>1920</v>
      </c>
      <c r="I138">
        <v>0</v>
      </c>
      <c r="J138">
        <v>1920</v>
      </c>
      <c r="K138" t="s">
        <v>60</v>
      </c>
    </row>
    <row r="139" spans="1:11">
      <c r="A139" t="s">
        <v>213</v>
      </c>
      <c r="B139" s="13">
        <v>46154</v>
      </c>
      <c r="C139" t="s">
        <v>18</v>
      </c>
      <c r="D139" t="s">
        <v>19</v>
      </c>
      <c r="E139" t="s">
        <v>32</v>
      </c>
      <c r="F139" t="s">
        <v>33</v>
      </c>
      <c r="G139">
        <v>4</v>
      </c>
      <c r="H139">
        <v>41750</v>
      </c>
      <c r="I139">
        <v>0</v>
      </c>
      <c r="J139">
        <v>167000</v>
      </c>
      <c r="K139" t="s">
        <v>80</v>
      </c>
    </row>
    <row r="140" spans="1:11">
      <c r="A140" t="s">
        <v>214</v>
      </c>
      <c r="B140" s="13">
        <v>46156</v>
      </c>
      <c r="C140" t="s">
        <v>18</v>
      </c>
      <c r="D140" t="s">
        <v>19</v>
      </c>
      <c r="E140" t="s">
        <v>62</v>
      </c>
      <c r="F140" t="s">
        <v>63</v>
      </c>
      <c r="G140">
        <v>1</v>
      </c>
      <c r="H140">
        <v>310</v>
      </c>
      <c r="I140">
        <v>0</v>
      </c>
      <c r="J140">
        <v>310</v>
      </c>
      <c r="K140" t="s">
        <v>204</v>
      </c>
    </row>
    <row r="141" spans="1:11">
      <c r="A141" t="s">
        <v>215</v>
      </c>
      <c r="B141" s="13">
        <v>46156</v>
      </c>
      <c r="C141" t="s">
        <v>12</v>
      </c>
      <c r="D141" t="s">
        <v>19</v>
      </c>
      <c r="E141" t="s">
        <v>32</v>
      </c>
      <c r="F141" t="s">
        <v>33</v>
      </c>
      <c r="G141">
        <v>1</v>
      </c>
      <c r="H141">
        <v>34230</v>
      </c>
      <c r="I141">
        <v>0.15</v>
      </c>
      <c r="J141">
        <v>29095.5</v>
      </c>
      <c r="K141" t="s">
        <v>58</v>
      </c>
    </row>
    <row r="142" spans="1:11">
      <c r="A142" t="s">
        <v>216</v>
      </c>
      <c r="B142" s="13">
        <v>46157</v>
      </c>
      <c r="C142" t="s">
        <v>22</v>
      </c>
      <c r="D142" t="s">
        <v>13</v>
      </c>
      <c r="E142" t="s">
        <v>23</v>
      </c>
      <c r="F142" t="s">
        <v>15</v>
      </c>
      <c r="G142">
        <v>4</v>
      </c>
      <c r="H142">
        <v>8170</v>
      </c>
      <c r="I142">
        <v>0</v>
      </c>
      <c r="J142">
        <v>32680</v>
      </c>
      <c r="K142" t="s">
        <v>92</v>
      </c>
    </row>
    <row r="143" spans="1:11">
      <c r="A143" t="s">
        <v>217</v>
      </c>
      <c r="B143" s="13">
        <v>46157</v>
      </c>
      <c r="C143" t="s">
        <v>51</v>
      </c>
      <c r="D143" t="s">
        <v>19</v>
      </c>
      <c r="E143" t="s">
        <v>70</v>
      </c>
      <c r="F143" t="s">
        <v>63</v>
      </c>
      <c r="G143">
        <v>1</v>
      </c>
      <c r="H143">
        <v>1040</v>
      </c>
      <c r="I143">
        <v>0.15</v>
      </c>
      <c r="J143">
        <v>884</v>
      </c>
      <c r="K143" t="s">
        <v>142</v>
      </c>
    </row>
    <row r="144" spans="1:11">
      <c r="A144" t="s">
        <v>218</v>
      </c>
      <c r="B144" s="13">
        <v>46158</v>
      </c>
      <c r="C144" t="s">
        <v>31</v>
      </c>
      <c r="D144" t="s">
        <v>19</v>
      </c>
      <c r="E144" t="s">
        <v>14</v>
      </c>
      <c r="F144" t="s">
        <v>15</v>
      </c>
      <c r="G144">
        <v>1</v>
      </c>
      <c r="H144">
        <v>4460</v>
      </c>
      <c r="I144">
        <v>0</v>
      </c>
      <c r="J144">
        <v>4460</v>
      </c>
      <c r="K144" t="s">
        <v>38</v>
      </c>
    </row>
    <row r="145" spans="1:11">
      <c r="A145" t="s">
        <v>219</v>
      </c>
      <c r="B145" s="13">
        <v>46158</v>
      </c>
      <c r="C145" t="s">
        <v>22</v>
      </c>
      <c r="D145" t="s">
        <v>19</v>
      </c>
      <c r="E145" t="s">
        <v>41</v>
      </c>
      <c r="F145" t="s">
        <v>33</v>
      </c>
      <c r="G145">
        <v>2</v>
      </c>
      <c r="H145">
        <v>2180</v>
      </c>
      <c r="I145">
        <v>0</v>
      </c>
      <c r="J145">
        <v>4360</v>
      </c>
      <c r="K145" t="s">
        <v>34</v>
      </c>
    </row>
    <row r="146" spans="1:11">
      <c r="A146" t="s">
        <v>220</v>
      </c>
      <c r="B146" s="13">
        <v>46159</v>
      </c>
      <c r="C146" t="s">
        <v>18</v>
      </c>
      <c r="D146" t="s">
        <v>19</v>
      </c>
      <c r="E146" t="s">
        <v>32</v>
      </c>
      <c r="F146" t="s">
        <v>33</v>
      </c>
      <c r="G146">
        <v>2</v>
      </c>
      <c r="H146">
        <v>38690</v>
      </c>
      <c r="I146">
        <v>0</v>
      </c>
      <c r="J146">
        <v>77380</v>
      </c>
      <c r="K146" t="s">
        <v>85</v>
      </c>
    </row>
    <row r="147" spans="1:11">
      <c r="A147" t="s">
        <v>221</v>
      </c>
      <c r="B147" s="13">
        <v>46159</v>
      </c>
      <c r="C147" t="s">
        <v>18</v>
      </c>
      <c r="D147" t="s">
        <v>19</v>
      </c>
      <c r="E147" t="s">
        <v>41</v>
      </c>
      <c r="F147" t="s">
        <v>33</v>
      </c>
      <c r="G147">
        <v>2</v>
      </c>
      <c r="H147">
        <v>1120</v>
      </c>
      <c r="I147">
        <v>0</v>
      </c>
      <c r="J147">
        <v>2240</v>
      </c>
      <c r="K147" t="s">
        <v>202</v>
      </c>
    </row>
    <row r="148" spans="1:11">
      <c r="A148" t="s">
        <v>222</v>
      </c>
      <c r="B148" s="13">
        <v>46161</v>
      </c>
      <c r="C148" t="s">
        <v>22</v>
      </c>
      <c r="D148" t="s">
        <v>19</v>
      </c>
      <c r="E148" t="s">
        <v>62</v>
      </c>
      <c r="F148" t="s">
        <v>63</v>
      </c>
      <c r="G148">
        <v>1</v>
      </c>
      <c r="H148">
        <v>290</v>
      </c>
      <c r="I148">
        <v>0.15</v>
      </c>
      <c r="J148">
        <v>246.5</v>
      </c>
      <c r="K148" t="s">
        <v>223</v>
      </c>
    </row>
    <row r="149" spans="1:11">
      <c r="A149" t="s">
        <v>224</v>
      </c>
      <c r="B149" s="13">
        <v>46164</v>
      </c>
      <c r="C149" t="s">
        <v>51</v>
      </c>
      <c r="D149" t="s">
        <v>13</v>
      </c>
      <c r="E149" t="s">
        <v>84</v>
      </c>
      <c r="F149" t="s">
        <v>28</v>
      </c>
      <c r="G149">
        <v>2</v>
      </c>
      <c r="H149">
        <v>60</v>
      </c>
      <c r="I149">
        <v>0.05</v>
      </c>
      <c r="J149">
        <v>114</v>
      </c>
      <c r="K149" t="s">
        <v>225</v>
      </c>
    </row>
    <row r="150" spans="1:11">
      <c r="A150" t="s">
        <v>226</v>
      </c>
      <c r="B150" s="13">
        <v>46165</v>
      </c>
      <c r="C150" t="s">
        <v>31</v>
      </c>
      <c r="D150" t="s">
        <v>13</v>
      </c>
      <c r="E150" t="s">
        <v>70</v>
      </c>
      <c r="F150" t="s">
        <v>63</v>
      </c>
      <c r="G150">
        <v>1</v>
      </c>
      <c r="H150">
        <v>930</v>
      </c>
      <c r="I150">
        <v>0</v>
      </c>
      <c r="J150">
        <v>930</v>
      </c>
      <c r="K150" t="s">
        <v>194</v>
      </c>
    </row>
    <row r="151" spans="1:11">
      <c r="A151" t="s">
        <v>227</v>
      </c>
      <c r="B151" s="13">
        <v>46168</v>
      </c>
      <c r="C151" t="s">
        <v>51</v>
      </c>
      <c r="D151" t="s">
        <v>19</v>
      </c>
      <c r="E151" t="s">
        <v>41</v>
      </c>
      <c r="F151" t="s">
        <v>33</v>
      </c>
      <c r="G151">
        <v>2</v>
      </c>
      <c r="H151">
        <v>1930</v>
      </c>
      <c r="I151">
        <v>0</v>
      </c>
      <c r="J151">
        <v>3860</v>
      </c>
      <c r="K151" t="s">
        <v>114</v>
      </c>
    </row>
    <row r="152" spans="1:11">
      <c r="A152" t="s">
        <v>228</v>
      </c>
      <c r="B152" s="13">
        <v>46172</v>
      </c>
      <c r="C152" t="s">
        <v>18</v>
      </c>
      <c r="D152" t="s">
        <v>19</v>
      </c>
      <c r="E152" t="s">
        <v>62</v>
      </c>
      <c r="F152" t="s">
        <v>63</v>
      </c>
      <c r="G152">
        <v>2</v>
      </c>
      <c r="H152">
        <v>200</v>
      </c>
      <c r="I152">
        <v>0</v>
      </c>
      <c r="J152">
        <v>400</v>
      </c>
      <c r="K152" t="s">
        <v>36</v>
      </c>
    </row>
    <row r="153" spans="1:11">
      <c r="A153" t="s">
        <v>229</v>
      </c>
      <c r="B153" s="13">
        <v>46173</v>
      </c>
      <c r="C153" t="s">
        <v>18</v>
      </c>
      <c r="D153" t="s">
        <v>19</v>
      </c>
      <c r="E153" t="s">
        <v>23</v>
      </c>
      <c r="F153" t="s">
        <v>15</v>
      </c>
      <c r="G153">
        <v>4</v>
      </c>
      <c r="H153">
        <v>8980</v>
      </c>
      <c r="I153">
        <v>0</v>
      </c>
      <c r="J153">
        <v>35920</v>
      </c>
      <c r="K153" t="s">
        <v>72</v>
      </c>
    </row>
    <row r="154" spans="1:11">
      <c r="A154" t="s">
        <v>230</v>
      </c>
      <c r="B154" s="13">
        <v>46173</v>
      </c>
      <c r="C154" t="s">
        <v>22</v>
      </c>
      <c r="D154" t="s">
        <v>19</v>
      </c>
      <c r="E154" t="s">
        <v>32</v>
      </c>
      <c r="F154" t="s">
        <v>33</v>
      </c>
      <c r="G154">
        <v>1</v>
      </c>
      <c r="H154">
        <v>33160</v>
      </c>
      <c r="I154">
        <v>0.15</v>
      </c>
      <c r="J154">
        <v>28186</v>
      </c>
      <c r="K154" t="s">
        <v>24</v>
      </c>
    </row>
    <row r="155" spans="1:11">
      <c r="A155" t="s">
        <v>231</v>
      </c>
      <c r="B155" s="13">
        <v>46174</v>
      </c>
      <c r="C155" t="s">
        <v>12</v>
      </c>
      <c r="D155" t="s">
        <v>19</v>
      </c>
      <c r="E155" t="s">
        <v>23</v>
      </c>
      <c r="F155" t="s">
        <v>15</v>
      </c>
      <c r="G155">
        <v>2</v>
      </c>
      <c r="H155">
        <v>7470</v>
      </c>
      <c r="I155">
        <v>0.1</v>
      </c>
      <c r="J155">
        <v>13446</v>
      </c>
      <c r="K155" t="s">
        <v>119</v>
      </c>
    </row>
    <row r="156" spans="1:11">
      <c r="A156" t="s">
        <v>232</v>
      </c>
      <c r="B156" s="13">
        <v>46174</v>
      </c>
      <c r="C156" t="s">
        <v>12</v>
      </c>
      <c r="D156" t="s">
        <v>19</v>
      </c>
      <c r="E156" t="s">
        <v>14</v>
      </c>
      <c r="F156" t="s">
        <v>15</v>
      </c>
      <c r="G156">
        <v>1</v>
      </c>
      <c r="H156">
        <v>3520</v>
      </c>
      <c r="I156">
        <v>0.15</v>
      </c>
      <c r="J156">
        <v>2992</v>
      </c>
      <c r="K156" t="s">
        <v>233</v>
      </c>
    </row>
    <row r="157" spans="1:11">
      <c r="A157" t="s">
        <v>234</v>
      </c>
      <c r="B157" s="13">
        <v>46176</v>
      </c>
      <c r="C157" t="s">
        <v>31</v>
      </c>
      <c r="D157" t="s">
        <v>13</v>
      </c>
      <c r="E157" t="s">
        <v>14</v>
      </c>
      <c r="F157" t="s">
        <v>15</v>
      </c>
      <c r="G157">
        <v>1</v>
      </c>
      <c r="H157">
        <v>5850</v>
      </c>
      <c r="I157">
        <v>0.1</v>
      </c>
      <c r="J157">
        <v>5265</v>
      </c>
      <c r="K157" t="s">
        <v>29</v>
      </c>
    </row>
    <row r="158" spans="1:11">
      <c r="A158" t="s">
        <v>235</v>
      </c>
      <c r="B158" s="13">
        <v>46177</v>
      </c>
      <c r="C158" t="s">
        <v>18</v>
      </c>
      <c r="D158" t="s">
        <v>13</v>
      </c>
      <c r="E158" t="s">
        <v>27</v>
      </c>
      <c r="F158" t="s">
        <v>28</v>
      </c>
      <c r="G158">
        <v>3</v>
      </c>
      <c r="H158">
        <v>210</v>
      </c>
      <c r="I158">
        <v>0</v>
      </c>
      <c r="J158">
        <v>630</v>
      </c>
      <c r="K158" t="s">
        <v>236</v>
      </c>
    </row>
    <row r="159" spans="1:11">
      <c r="A159" t="s">
        <v>237</v>
      </c>
      <c r="B159" s="13">
        <v>46179</v>
      </c>
      <c r="C159" t="s">
        <v>22</v>
      </c>
      <c r="D159" t="s">
        <v>13</v>
      </c>
      <c r="E159" t="s">
        <v>32</v>
      </c>
      <c r="F159" t="s">
        <v>33</v>
      </c>
      <c r="G159">
        <v>4</v>
      </c>
      <c r="H159">
        <v>35960</v>
      </c>
      <c r="I159">
        <v>0</v>
      </c>
      <c r="J159">
        <v>143840</v>
      </c>
      <c r="K159" t="s">
        <v>194</v>
      </c>
    </row>
    <row r="160" spans="1:11">
      <c r="A160" t="s">
        <v>238</v>
      </c>
      <c r="B160" s="13">
        <v>46180</v>
      </c>
      <c r="C160" t="s">
        <v>31</v>
      </c>
      <c r="D160" t="s">
        <v>19</v>
      </c>
      <c r="E160" t="s">
        <v>62</v>
      </c>
      <c r="F160" t="s">
        <v>63</v>
      </c>
      <c r="G160">
        <v>1</v>
      </c>
      <c r="H160">
        <v>340</v>
      </c>
      <c r="I160">
        <v>0.15</v>
      </c>
      <c r="J160">
        <v>289</v>
      </c>
      <c r="K160" t="s">
        <v>56</v>
      </c>
    </row>
    <row r="161" spans="1:11">
      <c r="A161" t="s">
        <v>239</v>
      </c>
      <c r="B161" s="13">
        <v>46182</v>
      </c>
      <c r="C161" t="s">
        <v>51</v>
      </c>
      <c r="D161" t="s">
        <v>13</v>
      </c>
      <c r="E161" t="s">
        <v>27</v>
      </c>
      <c r="F161" t="s">
        <v>28</v>
      </c>
      <c r="G161">
        <v>1</v>
      </c>
      <c r="H161">
        <v>130</v>
      </c>
      <c r="I161">
        <v>0.1</v>
      </c>
      <c r="J161">
        <v>117</v>
      </c>
      <c r="K161" t="s">
        <v>136</v>
      </c>
    </row>
    <row r="162" spans="1:11">
      <c r="A162" t="s">
        <v>240</v>
      </c>
      <c r="B162" s="13">
        <v>46182</v>
      </c>
      <c r="C162" t="s">
        <v>31</v>
      </c>
      <c r="D162" t="s">
        <v>19</v>
      </c>
      <c r="E162" t="s">
        <v>32</v>
      </c>
      <c r="F162" t="s">
        <v>33</v>
      </c>
      <c r="G162">
        <v>1</v>
      </c>
      <c r="H162">
        <v>34210</v>
      </c>
      <c r="I162">
        <v>0</v>
      </c>
      <c r="J162">
        <v>34210</v>
      </c>
      <c r="K162" t="s">
        <v>128</v>
      </c>
    </row>
    <row r="163" spans="1:11">
      <c r="A163" t="s">
        <v>241</v>
      </c>
      <c r="B163" s="13">
        <v>46183</v>
      </c>
      <c r="C163" t="s">
        <v>12</v>
      </c>
      <c r="D163" t="s">
        <v>19</v>
      </c>
      <c r="E163" t="s">
        <v>62</v>
      </c>
      <c r="F163" t="s">
        <v>63</v>
      </c>
      <c r="G163">
        <v>3</v>
      </c>
      <c r="H163">
        <v>140</v>
      </c>
      <c r="I163">
        <v>0.15</v>
      </c>
      <c r="J163">
        <v>357</v>
      </c>
      <c r="K163" t="s">
        <v>104</v>
      </c>
    </row>
    <row r="164" spans="1:11">
      <c r="A164" t="s">
        <v>242</v>
      </c>
      <c r="B164" s="13">
        <v>46184</v>
      </c>
      <c r="C164" t="s">
        <v>22</v>
      </c>
      <c r="D164" t="s">
        <v>13</v>
      </c>
      <c r="E164" t="s">
        <v>84</v>
      </c>
      <c r="F164" t="s">
        <v>28</v>
      </c>
      <c r="G164">
        <v>2</v>
      </c>
      <c r="H164">
        <v>40</v>
      </c>
      <c r="I164">
        <v>0.1</v>
      </c>
      <c r="J164">
        <v>72</v>
      </c>
      <c r="K164" t="s">
        <v>145</v>
      </c>
    </row>
    <row r="165" spans="1:11">
      <c r="A165" t="s">
        <v>243</v>
      </c>
      <c r="B165" s="13">
        <v>46184</v>
      </c>
      <c r="C165" t="s">
        <v>31</v>
      </c>
      <c r="D165" t="s">
        <v>19</v>
      </c>
      <c r="E165" t="s">
        <v>70</v>
      </c>
      <c r="F165" t="s">
        <v>63</v>
      </c>
      <c r="G165">
        <v>1</v>
      </c>
      <c r="H165">
        <v>1370</v>
      </c>
      <c r="I165">
        <v>0.15</v>
      </c>
      <c r="J165">
        <v>1164.5</v>
      </c>
      <c r="K165" t="s">
        <v>68</v>
      </c>
    </row>
    <row r="166" spans="1:11">
      <c r="A166" t="s">
        <v>244</v>
      </c>
      <c r="B166" s="13">
        <v>46185</v>
      </c>
      <c r="C166" t="s">
        <v>18</v>
      </c>
      <c r="D166" t="s">
        <v>19</v>
      </c>
      <c r="E166" t="s">
        <v>23</v>
      </c>
      <c r="F166" t="s">
        <v>15</v>
      </c>
      <c r="G166">
        <v>1</v>
      </c>
      <c r="H166">
        <v>7550</v>
      </c>
      <c r="I166">
        <v>0</v>
      </c>
      <c r="J166">
        <v>7550</v>
      </c>
      <c r="K166" t="s">
        <v>128</v>
      </c>
    </row>
    <row r="167" spans="1:11">
      <c r="A167" t="s">
        <v>245</v>
      </c>
      <c r="B167" s="13">
        <v>46185</v>
      </c>
      <c r="C167" t="s">
        <v>51</v>
      </c>
      <c r="D167" t="s">
        <v>19</v>
      </c>
      <c r="E167" t="s">
        <v>32</v>
      </c>
      <c r="F167" t="s">
        <v>33</v>
      </c>
      <c r="G167">
        <v>1</v>
      </c>
      <c r="H167">
        <v>34110</v>
      </c>
      <c r="I167">
        <v>0</v>
      </c>
      <c r="J167">
        <v>34110</v>
      </c>
      <c r="K167" t="s">
        <v>111</v>
      </c>
    </row>
    <row r="168" spans="1:11">
      <c r="A168" t="s">
        <v>246</v>
      </c>
      <c r="B168" s="13">
        <v>46186</v>
      </c>
      <c r="C168" t="s">
        <v>31</v>
      </c>
      <c r="D168" t="s">
        <v>19</v>
      </c>
      <c r="E168" t="s">
        <v>84</v>
      </c>
      <c r="F168" t="s">
        <v>28</v>
      </c>
      <c r="G168">
        <v>2</v>
      </c>
      <c r="H168">
        <v>30</v>
      </c>
      <c r="I168">
        <v>0</v>
      </c>
      <c r="J168">
        <v>60</v>
      </c>
      <c r="K168" t="s">
        <v>204</v>
      </c>
    </row>
    <row r="169" spans="1:11">
      <c r="A169" t="s">
        <v>247</v>
      </c>
      <c r="B169" s="13">
        <v>46187</v>
      </c>
      <c r="C169" t="s">
        <v>51</v>
      </c>
      <c r="D169" t="s">
        <v>13</v>
      </c>
      <c r="E169" t="s">
        <v>41</v>
      </c>
      <c r="F169" t="s">
        <v>33</v>
      </c>
      <c r="G169">
        <v>1</v>
      </c>
      <c r="H169">
        <v>2410</v>
      </c>
      <c r="I169">
        <v>0</v>
      </c>
      <c r="J169">
        <v>2410</v>
      </c>
      <c r="K169" t="s">
        <v>145</v>
      </c>
    </row>
    <row r="170" spans="1:11">
      <c r="A170" t="s">
        <v>248</v>
      </c>
      <c r="B170" s="13">
        <v>46189</v>
      </c>
      <c r="C170" t="s">
        <v>31</v>
      </c>
      <c r="D170" t="s">
        <v>13</v>
      </c>
      <c r="E170" t="s">
        <v>41</v>
      </c>
      <c r="F170" t="s">
        <v>33</v>
      </c>
      <c r="G170">
        <v>1</v>
      </c>
      <c r="H170">
        <v>2390</v>
      </c>
      <c r="I170">
        <v>0</v>
      </c>
      <c r="J170">
        <v>2390</v>
      </c>
      <c r="K170" t="s">
        <v>142</v>
      </c>
    </row>
    <row r="171" spans="1:11">
      <c r="A171" t="s">
        <v>249</v>
      </c>
      <c r="B171" s="13">
        <v>46192</v>
      </c>
      <c r="C171" t="s">
        <v>12</v>
      </c>
      <c r="D171" t="s">
        <v>13</v>
      </c>
      <c r="E171" t="s">
        <v>41</v>
      </c>
      <c r="F171" t="s">
        <v>33</v>
      </c>
      <c r="G171">
        <v>1</v>
      </c>
      <c r="H171">
        <v>940</v>
      </c>
      <c r="I171">
        <v>0.05</v>
      </c>
      <c r="J171">
        <v>893</v>
      </c>
      <c r="K171" t="s">
        <v>109</v>
      </c>
    </row>
    <row r="172" spans="1:11">
      <c r="A172" t="s">
        <v>250</v>
      </c>
      <c r="B172" s="13">
        <v>46192</v>
      </c>
      <c r="C172" t="s">
        <v>22</v>
      </c>
      <c r="D172" t="s">
        <v>19</v>
      </c>
      <c r="E172" t="s">
        <v>41</v>
      </c>
      <c r="F172" t="s">
        <v>33</v>
      </c>
      <c r="G172">
        <v>1</v>
      </c>
      <c r="H172">
        <v>2200</v>
      </c>
      <c r="I172">
        <v>0.05</v>
      </c>
      <c r="J172">
        <v>2090</v>
      </c>
      <c r="K172" t="s">
        <v>92</v>
      </c>
    </row>
    <row r="173" spans="1:11">
      <c r="A173" t="s">
        <v>251</v>
      </c>
      <c r="B173" s="13">
        <v>46193</v>
      </c>
      <c r="C173" t="s">
        <v>22</v>
      </c>
      <c r="D173" t="s">
        <v>19</v>
      </c>
      <c r="E173" t="s">
        <v>27</v>
      </c>
      <c r="F173" t="s">
        <v>28</v>
      </c>
      <c r="G173">
        <v>1</v>
      </c>
      <c r="H173">
        <v>80</v>
      </c>
      <c r="I173">
        <v>0.15</v>
      </c>
      <c r="J173">
        <v>68</v>
      </c>
      <c r="K173" t="s">
        <v>92</v>
      </c>
    </row>
    <row r="174" spans="1:11">
      <c r="A174" t="s">
        <v>252</v>
      </c>
      <c r="B174" s="13">
        <v>46194</v>
      </c>
      <c r="C174" t="s">
        <v>22</v>
      </c>
      <c r="D174" t="s">
        <v>13</v>
      </c>
      <c r="E174" t="s">
        <v>41</v>
      </c>
      <c r="F174" t="s">
        <v>33</v>
      </c>
      <c r="G174">
        <v>4</v>
      </c>
      <c r="H174">
        <v>1030</v>
      </c>
      <c r="I174">
        <v>0.1</v>
      </c>
      <c r="J174">
        <v>3708</v>
      </c>
      <c r="K174" t="s">
        <v>85</v>
      </c>
    </row>
    <row r="175" spans="1:11">
      <c r="A175" t="s">
        <v>253</v>
      </c>
      <c r="B175" s="13">
        <v>46194</v>
      </c>
      <c r="C175" t="s">
        <v>51</v>
      </c>
      <c r="D175" t="s">
        <v>19</v>
      </c>
      <c r="E175" t="s">
        <v>41</v>
      </c>
      <c r="F175" t="s">
        <v>33</v>
      </c>
      <c r="G175">
        <v>1</v>
      </c>
      <c r="H175">
        <v>2010</v>
      </c>
      <c r="I175">
        <v>0</v>
      </c>
      <c r="J175">
        <v>2010</v>
      </c>
      <c r="K175" t="s">
        <v>24</v>
      </c>
    </row>
    <row r="176" spans="1:11">
      <c r="A176" t="s">
        <v>254</v>
      </c>
      <c r="B176" s="13">
        <v>46194</v>
      </c>
      <c r="C176" t="s">
        <v>51</v>
      </c>
      <c r="D176" t="s">
        <v>19</v>
      </c>
      <c r="E176" t="s">
        <v>14</v>
      </c>
      <c r="F176" t="s">
        <v>15</v>
      </c>
      <c r="G176">
        <v>1</v>
      </c>
      <c r="H176">
        <v>6030</v>
      </c>
      <c r="I176">
        <v>0.15</v>
      </c>
      <c r="J176">
        <v>5125.5</v>
      </c>
      <c r="K176" t="s">
        <v>104</v>
      </c>
    </row>
    <row r="177" spans="1:11">
      <c r="A177" t="s">
        <v>255</v>
      </c>
      <c r="B177" s="13">
        <v>46197</v>
      </c>
      <c r="C177" t="s">
        <v>31</v>
      </c>
      <c r="D177" t="s">
        <v>19</v>
      </c>
      <c r="E177" t="s">
        <v>70</v>
      </c>
      <c r="F177" t="s">
        <v>63</v>
      </c>
      <c r="G177">
        <v>1</v>
      </c>
      <c r="H177">
        <v>1060</v>
      </c>
      <c r="I177">
        <v>0.05</v>
      </c>
      <c r="J177">
        <v>1007</v>
      </c>
      <c r="K177" t="s">
        <v>72</v>
      </c>
    </row>
    <row r="178" spans="1:11">
      <c r="A178" t="s">
        <v>256</v>
      </c>
      <c r="B178" s="13">
        <v>46197</v>
      </c>
      <c r="C178" t="s">
        <v>22</v>
      </c>
      <c r="D178" t="s">
        <v>13</v>
      </c>
      <c r="E178" t="s">
        <v>70</v>
      </c>
      <c r="F178" t="s">
        <v>63</v>
      </c>
      <c r="G178">
        <v>2</v>
      </c>
      <c r="H178">
        <v>1620</v>
      </c>
      <c r="I178">
        <v>0.05</v>
      </c>
      <c r="J178">
        <v>3078</v>
      </c>
      <c r="K178" t="s">
        <v>142</v>
      </c>
    </row>
    <row r="179" spans="1:11">
      <c r="A179" t="s">
        <v>257</v>
      </c>
      <c r="B179" s="13">
        <v>46197</v>
      </c>
      <c r="C179" t="s">
        <v>31</v>
      </c>
      <c r="D179" t="s">
        <v>19</v>
      </c>
      <c r="E179" t="s">
        <v>27</v>
      </c>
      <c r="F179" t="s">
        <v>28</v>
      </c>
      <c r="G179">
        <v>4</v>
      </c>
      <c r="H179">
        <v>80</v>
      </c>
      <c r="I179">
        <v>0</v>
      </c>
      <c r="J179">
        <v>320</v>
      </c>
      <c r="K179" t="s">
        <v>145</v>
      </c>
    </row>
    <row r="180" spans="1:11">
      <c r="A180" t="s">
        <v>258</v>
      </c>
      <c r="B180" s="13">
        <v>46201</v>
      </c>
      <c r="C180" t="s">
        <v>31</v>
      </c>
      <c r="D180" t="s">
        <v>19</v>
      </c>
      <c r="E180" t="s">
        <v>62</v>
      </c>
      <c r="F180" t="s">
        <v>63</v>
      </c>
      <c r="G180">
        <v>4</v>
      </c>
      <c r="H180">
        <v>210</v>
      </c>
      <c r="I180">
        <v>0</v>
      </c>
      <c r="J180">
        <v>840</v>
      </c>
      <c r="K180" t="s">
        <v>236</v>
      </c>
    </row>
    <row r="181" spans="1:11">
      <c r="A181" t="s">
        <v>259</v>
      </c>
      <c r="B181" s="13">
        <v>46202</v>
      </c>
      <c r="C181" t="s">
        <v>31</v>
      </c>
      <c r="D181" t="s">
        <v>19</v>
      </c>
      <c r="E181" t="s">
        <v>27</v>
      </c>
      <c r="F181" t="s">
        <v>28</v>
      </c>
      <c r="G181">
        <v>4</v>
      </c>
      <c r="H181">
        <v>140</v>
      </c>
      <c r="I181">
        <v>0</v>
      </c>
      <c r="J181">
        <v>560</v>
      </c>
      <c r="K181" t="s">
        <v>204</v>
      </c>
    </row>
  </sheetData>
  <conditionalFormatting sqref="A1:A181">
    <cfRule type="duplicateValues" dxfId="0" priority="2"/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1"/>
  <sheetViews>
    <sheetView workbookViewId="0">
      <selection activeCell="J1" sqref="J$1:J$1048576"/>
    </sheetView>
  </sheetViews>
  <sheetFormatPr defaultColWidth="7.36363636363636" defaultRowHeight="15"/>
  <cols>
    <col min="2" max="2" width="16.2727272727273" customWidth="1"/>
    <col min="10" max="10" width="9.36363636363636"/>
  </cols>
  <sheetData>
    <row r="1" spans="1:1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t="s">
        <v>260</v>
      </c>
    </row>
    <row r="2" spans="1:12">
      <c r="A2" t="s">
        <v>11</v>
      </c>
      <c r="B2" s="13">
        <v>46023</v>
      </c>
      <c r="C2" t="s">
        <v>12</v>
      </c>
      <c r="D2" t="s">
        <v>13</v>
      </c>
      <c r="E2" t="s">
        <v>14</v>
      </c>
      <c r="F2" t="s">
        <v>15</v>
      </c>
      <c r="G2">
        <v>4</v>
      </c>
      <c r="H2">
        <v>4070</v>
      </c>
      <c r="I2">
        <v>0.05</v>
      </c>
      <c r="J2">
        <v>15466</v>
      </c>
      <c r="K2" t="s">
        <v>16</v>
      </c>
      <c r="L2">
        <f t="shared" ref="L2:L65" si="0">MONTH(B2)</f>
        <v>1</v>
      </c>
    </row>
    <row r="3" spans="1:12">
      <c r="A3" t="s">
        <v>17</v>
      </c>
      <c r="B3" s="13">
        <v>46024</v>
      </c>
      <c r="C3" t="s">
        <v>18</v>
      </c>
      <c r="D3" t="s">
        <v>19</v>
      </c>
      <c r="E3" t="s">
        <v>14</v>
      </c>
      <c r="F3" t="s">
        <v>15</v>
      </c>
      <c r="G3">
        <v>1</v>
      </c>
      <c r="H3">
        <v>6670</v>
      </c>
      <c r="I3">
        <v>0.15</v>
      </c>
      <c r="J3">
        <v>5669.5</v>
      </c>
      <c r="K3" t="s">
        <v>20</v>
      </c>
      <c r="L3">
        <f t="shared" si="0"/>
        <v>1</v>
      </c>
    </row>
    <row r="4" spans="1:12">
      <c r="A4" t="s">
        <v>21</v>
      </c>
      <c r="B4" s="13">
        <v>46024</v>
      </c>
      <c r="C4" t="s">
        <v>22</v>
      </c>
      <c r="D4" t="s">
        <v>19</v>
      </c>
      <c r="E4" t="s">
        <v>23</v>
      </c>
      <c r="F4" t="s">
        <v>15</v>
      </c>
      <c r="G4">
        <v>2</v>
      </c>
      <c r="H4">
        <v>8200</v>
      </c>
      <c r="I4">
        <v>0</v>
      </c>
      <c r="J4">
        <v>16400</v>
      </c>
      <c r="K4" t="s">
        <v>24</v>
      </c>
      <c r="L4">
        <f t="shared" si="0"/>
        <v>1</v>
      </c>
    </row>
    <row r="5" spans="1:12">
      <c r="A5" t="s">
        <v>25</v>
      </c>
      <c r="B5" s="13">
        <v>46025</v>
      </c>
      <c r="C5" t="s">
        <v>18</v>
      </c>
      <c r="D5" t="s">
        <v>13</v>
      </c>
      <c r="E5" t="s">
        <v>23</v>
      </c>
      <c r="F5" t="s">
        <v>15</v>
      </c>
      <c r="G5">
        <v>1</v>
      </c>
      <c r="H5">
        <v>8620</v>
      </c>
      <c r="I5">
        <v>0.1</v>
      </c>
      <c r="J5">
        <v>7758</v>
      </c>
      <c r="K5" t="s">
        <v>24</v>
      </c>
      <c r="L5">
        <f t="shared" si="0"/>
        <v>1</v>
      </c>
    </row>
    <row r="6" spans="1:12">
      <c r="A6" t="s">
        <v>26</v>
      </c>
      <c r="B6" s="13">
        <v>46026</v>
      </c>
      <c r="C6" t="s">
        <v>22</v>
      </c>
      <c r="D6" t="s">
        <v>13</v>
      </c>
      <c r="E6" t="s">
        <v>27</v>
      </c>
      <c r="F6" t="s">
        <v>28</v>
      </c>
      <c r="G6">
        <v>4</v>
      </c>
      <c r="H6">
        <v>140</v>
      </c>
      <c r="I6">
        <v>0.1</v>
      </c>
      <c r="J6">
        <v>504</v>
      </c>
      <c r="K6" t="s">
        <v>29</v>
      </c>
      <c r="L6">
        <f t="shared" si="0"/>
        <v>1</v>
      </c>
    </row>
    <row r="7" spans="1:12">
      <c r="A7" t="s">
        <v>30</v>
      </c>
      <c r="B7" s="13">
        <v>46027</v>
      </c>
      <c r="C7" t="s">
        <v>31</v>
      </c>
      <c r="D7" t="s">
        <v>19</v>
      </c>
      <c r="E7" t="s">
        <v>32</v>
      </c>
      <c r="F7" t="s">
        <v>33</v>
      </c>
      <c r="G7">
        <v>3</v>
      </c>
      <c r="H7">
        <v>40210</v>
      </c>
      <c r="I7">
        <v>0.05</v>
      </c>
      <c r="J7">
        <v>114598.5</v>
      </c>
      <c r="K7" t="s">
        <v>34</v>
      </c>
      <c r="L7">
        <f t="shared" si="0"/>
        <v>1</v>
      </c>
    </row>
    <row r="8" spans="1:12">
      <c r="A8" t="s">
        <v>35</v>
      </c>
      <c r="B8" s="13">
        <v>46027</v>
      </c>
      <c r="C8" t="s">
        <v>31</v>
      </c>
      <c r="D8" t="s">
        <v>19</v>
      </c>
      <c r="E8" t="s">
        <v>27</v>
      </c>
      <c r="F8" t="s">
        <v>28</v>
      </c>
      <c r="G8">
        <v>2</v>
      </c>
      <c r="H8">
        <v>210</v>
      </c>
      <c r="I8">
        <v>0.1</v>
      </c>
      <c r="J8">
        <v>378</v>
      </c>
      <c r="K8" t="s">
        <v>36</v>
      </c>
      <c r="L8">
        <f t="shared" si="0"/>
        <v>1</v>
      </c>
    </row>
    <row r="9" spans="1:12">
      <c r="A9" t="s">
        <v>37</v>
      </c>
      <c r="B9" s="13">
        <v>46030</v>
      </c>
      <c r="C9" t="s">
        <v>31</v>
      </c>
      <c r="D9" t="s">
        <v>13</v>
      </c>
      <c r="E9" t="s">
        <v>23</v>
      </c>
      <c r="F9" t="s">
        <v>15</v>
      </c>
      <c r="G9">
        <v>2</v>
      </c>
      <c r="H9">
        <v>8060</v>
      </c>
      <c r="I9">
        <v>0</v>
      </c>
      <c r="J9">
        <v>16120</v>
      </c>
      <c r="K9" t="s">
        <v>38</v>
      </c>
      <c r="L9">
        <f t="shared" si="0"/>
        <v>1</v>
      </c>
    </row>
    <row r="10" spans="1:12">
      <c r="A10" t="s">
        <v>39</v>
      </c>
      <c r="B10" s="13">
        <v>46031</v>
      </c>
      <c r="C10" t="s">
        <v>31</v>
      </c>
      <c r="D10" t="s">
        <v>19</v>
      </c>
      <c r="E10" t="s">
        <v>14</v>
      </c>
      <c r="F10" t="s">
        <v>15</v>
      </c>
      <c r="G10">
        <v>1</v>
      </c>
      <c r="H10">
        <v>5480</v>
      </c>
      <c r="I10">
        <v>0</v>
      </c>
      <c r="J10">
        <v>5480</v>
      </c>
      <c r="K10" t="s">
        <v>29</v>
      </c>
      <c r="L10">
        <f t="shared" si="0"/>
        <v>1</v>
      </c>
    </row>
    <row r="11" spans="1:12">
      <c r="A11" t="s">
        <v>40</v>
      </c>
      <c r="B11" s="13">
        <v>46031</v>
      </c>
      <c r="C11" t="s">
        <v>18</v>
      </c>
      <c r="D11" t="s">
        <v>19</v>
      </c>
      <c r="E11" t="s">
        <v>41</v>
      </c>
      <c r="F11" t="s">
        <v>33</v>
      </c>
      <c r="G11">
        <v>2</v>
      </c>
      <c r="H11">
        <v>950</v>
      </c>
      <c r="I11">
        <v>0.15</v>
      </c>
      <c r="J11">
        <v>1615</v>
      </c>
      <c r="K11" t="s">
        <v>42</v>
      </c>
      <c r="L11">
        <f t="shared" si="0"/>
        <v>1</v>
      </c>
    </row>
    <row r="12" spans="1:12">
      <c r="A12" t="s">
        <v>43</v>
      </c>
      <c r="B12" s="13">
        <v>46034</v>
      </c>
      <c r="C12" t="s">
        <v>18</v>
      </c>
      <c r="D12" t="s">
        <v>13</v>
      </c>
      <c r="E12" t="s">
        <v>41</v>
      </c>
      <c r="F12" t="s">
        <v>33</v>
      </c>
      <c r="G12">
        <v>3</v>
      </c>
      <c r="H12">
        <v>2030</v>
      </c>
      <c r="I12">
        <v>0.05</v>
      </c>
      <c r="J12">
        <v>5785.5</v>
      </c>
      <c r="K12" t="s">
        <v>42</v>
      </c>
      <c r="L12">
        <f t="shared" si="0"/>
        <v>1</v>
      </c>
    </row>
    <row r="13" spans="1:12">
      <c r="A13" t="s">
        <v>44</v>
      </c>
      <c r="B13" s="13">
        <v>46035</v>
      </c>
      <c r="C13" t="s">
        <v>12</v>
      </c>
      <c r="D13" t="s">
        <v>13</v>
      </c>
      <c r="E13" t="s">
        <v>41</v>
      </c>
      <c r="F13" t="s">
        <v>33</v>
      </c>
      <c r="G13">
        <v>2</v>
      </c>
      <c r="H13">
        <v>2180</v>
      </c>
      <c r="I13">
        <v>0.05</v>
      </c>
      <c r="J13">
        <v>4142</v>
      </c>
      <c r="K13" t="s">
        <v>45</v>
      </c>
      <c r="L13">
        <f t="shared" si="0"/>
        <v>1</v>
      </c>
    </row>
    <row r="14" spans="1:12">
      <c r="A14" t="s">
        <v>46</v>
      </c>
      <c r="B14" s="13">
        <v>46036</v>
      </c>
      <c r="C14" t="s">
        <v>12</v>
      </c>
      <c r="D14" t="s">
        <v>13</v>
      </c>
      <c r="E14" t="s">
        <v>14</v>
      </c>
      <c r="F14" t="s">
        <v>15</v>
      </c>
      <c r="G14">
        <v>2</v>
      </c>
      <c r="H14">
        <v>5950</v>
      </c>
      <c r="I14">
        <v>0</v>
      </c>
      <c r="J14">
        <v>11900</v>
      </c>
      <c r="K14" t="s">
        <v>47</v>
      </c>
      <c r="L14">
        <f t="shared" si="0"/>
        <v>1</v>
      </c>
    </row>
    <row r="15" spans="1:12">
      <c r="A15" t="s">
        <v>48</v>
      </c>
      <c r="B15" s="13">
        <v>46036</v>
      </c>
      <c r="C15" t="s">
        <v>12</v>
      </c>
      <c r="D15" t="s">
        <v>19</v>
      </c>
      <c r="E15" t="s">
        <v>32</v>
      </c>
      <c r="F15" t="s">
        <v>33</v>
      </c>
      <c r="G15">
        <v>1</v>
      </c>
      <c r="H15">
        <v>35180</v>
      </c>
      <c r="I15">
        <v>0</v>
      </c>
      <c r="J15">
        <v>35180</v>
      </c>
      <c r="K15" t="s">
        <v>49</v>
      </c>
      <c r="L15">
        <f t="shared" si="0"/>
        <v>1</v>
      </c>
    </row>
    <row r="16" spans="1:12">
      <c r="A16" t="s">
        <v>50</v>
      </c>
      <c r="B16" s="13">
        <v>46037</v>
      </c>
      <c r="C16" t="s">
        <v>51</v>
      </c>
      <c r="D16" t="s">
        <v>19</v>
      </c>
      <c r="E16" t="s">
        <v>23</v>
      </c>
      <c r="F16" t="s">
        <v>15</v>
      </c>
      <c r="G16">
        <v>2</v>
      </c>
      <c r="H16">
        <v>6850</v>
      </c>
      <c r="I16">
        <v>0.1</v>
      </c>
      <c r="J16">
        <v>12330</v>
      </c>
      <c r="K16" t="s">
        <v>52</v>
      </c>
      <c r="L16">
        <f t="shared" si="0"/>
        <v>1</v>
      </c>
    </row>
    <row r="17" spans="1:12">
      <c r="A17" t="s">
        <v>53</v>
      </c>
      <c r="B17" s="13">
        <v>46037</v>
      </c>
      <c r="C17" t="s">
        <v>18</v>
      </c>
      <c r="D17" t="s">
        <v>19</v>
      </c>
      <c r="E17" t="s">
        <v>23</v>
      </c>
      <c r="F17" t="s">
        <v>15</v>
      </c>
      <c r="G17">
        <v>1</v>
      </c>
      <c r="H17">
        <v>8660</v>
      </c>
      <c r="I17">
        <v>0</v>
      </c>
      <c r="J17">
        <v>8660</v>
      </c>
      <c r="K17" t="s">
        <v>54</v>
      </c>
      <c r="L17">
        <f t="shared" si="0"/>
        <v>1</v>
      </c>
    </row>
    <row r="18" spans="1:12">
      <c r="A18" t="s">
        <v>55</v>
      </c>
      <c r="B18" s="13">
        <v>46037</v>
      </c>
      <c r="C18" t="s">
        <v>31</v>
      </c>
      <c r="D18" t="s">
        <v>19</v>
      </c>
      <c r="E18" t="s">
        <v>32</v>
      </c>
      <c r="F18" t="s">
        <v>33</v>
      </c>
      <c r="G18">
        <v>1</v>
      </c>
      <c r="H18">
        <v>32360</v>
      </c>
      <c r="I18">
        <v>0</v>
      </c>
      <c r="J18">
        <v>32360</v>
      </c>
      <c r="K18" t="s">
        <v>56</v>
      </c>
      <c r="L18">
        <f t="shared" si="0"/>
        <v>1</v>
      </c>
    </row>
    <row r="19" spans="1:12">
      <c r="A19" t="s">
        <v>57</v>
      </c>
      <c r="B19" s="13">
        <v>46037</v>
      </c>
      <c r="C19" t="s">
        <v>12</v>
      </c>
      <c r="D19" t="s">
        <v>13</v>
      </c>
      <c r="E19" t="s">
        <v>14</v>
      </c>
      <c r="F19" t="s">
        <v>15</v>
      </c>
      <c r="G19">
        <v>3</v>
      </c>
      <c r="H19">
        <v>4070</v>
      </c>
      <c r="I19">
        <v>0.05</v>
      </c>
      <c r="J19">
        <v>11599.5</v>
      </c>
      <c r="K19" t="s">
        <v>58</v>
      </c>
      <c r="L19">
        <f t="shared" si="0"/>
        <v>1</v>
      </c>
    </row>
    <row r="20" spans="1:12">
      <c r="A20" t="s">
        <v>59</v>
      </c>
      <c r="B20" s="13">
        <v>46037</v>
      </c>
      <c r="C20" t="s">
        <v>51</v>
      </c>
      <c r="D20" t="s">
        <v>13</v>
      </c>
      <c r="E20" t="s">
        <v>23</v>
      </c>
      <c r="F20" t="s">
        <v>15</v>
      </c>
      <c r="G20">
        <v>1</v>
      </c>
      <c r="H20">
        <v>8690</v>
      </c>
      <c r="I20">
        <v>0.05</v>
      </c>
      <c r="J20">
        <v>8255.5</v>
      </c>
      <c r="K20" t="s">
        <v>60</v>
      </c>
      <c r="L20">
        <f t="shared" si="0"/>
        <v>1</v>
      </c>
    </row>
    <row r="21" spans="1:12">
      <c r="A21" t="s">
        <v>61</v>
      </c>
      <c r="B21" s="13">
        <v>46040</v>
      </c>
      <c r="C21" t="s">
        <v>22</v>
      </c>
      <c r="D21" t="s">
        <v>13</v>
      </c>
      <c r="E21" t="s">
        <v>62</v>
      </c>
      <c r="F21" t="s">
        <v>63</v>
      </c>
      <c r="G21">
        <v>4</v>
      </c>
      <c r="H21">
        <v>330</v>
      </c>
      <c r="I21">
        <v>0.05</v>
      </c>
      <c r="J21">
        <v>1254</v>
      </c>
      <c r="K21" t="s">
        <v>42</v>
      </c>
      <c r="L21">
        <f t="shared" si="0"/>
        <v>1</v>
      </c>
    </row>
    <row r="22" spans="1:12">
      <c r="A22" t="s">
        <v>64</v>
      </c>
      <c r="B22" s="13">
        <v>46043</v>
      </c>
      <c r="C22" t="s">
        <v>12</v>
      </c>
      <c r="D22" t="s">
        <v>13</v>
      </c>
      <c r="E22" t="s">
        <v>62</v>
      </c>
      <c r="F22" t="s">
        <v>63</v>
      </c>
      <c r="G22">
        <v>1</v>
      </c>
      <c r="H22">
        <v>150</v>
      </c>
      <c r="I22">
        <v>0</v>
      </c>
      <c r="J22">
        <v>150</v>
      </c>
      <c r="K22" t="s">
        <v>65</v>
      </c>
      <c r="L22">
        <f t="shared" si="0"/>
        <v>1</v>
      </c>
    </row>
    <row r="23" spans="1:12">
      <c r="A23" t="s">
        <v>66</v>
      </c>
      <c r="B23" s="13">
        <v>46043</v>
      </c>
      <c r="C23" t="s">
        <v>18</v>
      </c>
      <c r="D23" t="s">
        <v>19</v>
      </c>
      <c r="E23" t="s">
        <v>41</v>
      </c>
      <c r="F23" t="s">
        <v>33</v>
      </c>
      <c r="G23">
        <v>1</v>
      </c>
      <c r="H23">
        <v>1680</v>
      </c>
      <c r="I23">
        <v>0.05</v>
      </c>
      <c r="J23">
        <v>1596</v>
      </c>
      <c r="K23" t="s">
        <v>60</v>
      </c>
      <c r="L23">
        <f t="shared" si="0"/>
        <v>1</v>
      </c>
    </row>
    <row r="24" spans="1:12">
      <c r="A24" t="s">
        <v>67</v>
      </c>
      <c r="B24" s="13">
        <v>46043</v>
      </c>
      <c r="C24" t="s">
        <v>31</v>
      </c>
      <c r="D24" t="s">
        <v>13</v>
      </c>
      <c r="E24" t="s">
        <v>32</v>
      </c>
      <c r="F24" t="s">
        <v>33</v>
      </c>
      <c r="G24">
        <v>1</v>
      </c>
      <c r="H24">
        <v>35200</v>
      </c>
      <c r="I24">
        <v>0.15</v>
      </c>
      <c r="J24">
        <v>29920</v>
      </c>
      <c r="K24" t="s">
        <v>68</v>
      </c>
      <c r="L24">
        <f t="shared" si="0"/>
        <v>1</v>
      </c>
    </row>
    <row r="25" spans="1:12">
      <c r="A25" t="s">
        <v>69</v>
      </c>
      <c r="B25" s="13">
        <v>46044</v>
      </c>
      <c r="C25" t="s">
        <v>22</v>
      </c>
      <c r="D25" t="s">
        <v>19</v>
      </c>
      <c r="E25" t="s">
        <v>70</v>
      </c>
      <c r="F25" t="s">
        <v>63</v>
      </c>
      <c r="G25">
        <v>2</v>
      </c>
      <c r="H25">
        <v>1020</v>
      </c>
      <c r="I25">
        <v>0</v>
      </c>
      <c r="J25">
        <v>2040</v>
      </c>
      <c r="K25" t="s">
        <v>54</v>
      </c>
      <c r="L25">
        <f t="shared" si="0"/>
        <v>1</v>
      </c>
    </row>
    <row r="26" spans="1:12">
      <c r="A26" t="s">
        <v>71</v>
      </c>
      <c r="B26" s="13">
        <v>46046</v>
      </c>
      <c r="C26" t="s">
        <v>51</v>
      </c>
      <c r="D26" t="s">
        <v>19</v>
      </c>
      <c r="E26" t="s">
        <v>14</v>
      </c>
      <c r="F26" t="s">
        <v>15</v>
      </c>
      <c r="G26">
        <v>1</v>
      </c>
      <c r="H26">
        <v>6900</v>
      </c>
      <c r="I26">
        <v>0.15</v>
      </c>
      <c r="J26">
        <v>5865</v>
      </c>
      <c r="K26" t="s">
        <v>72</v>
      </c>
      <c r="L26">
        <f t="shared" si="0"/>
        <v>1</v>
      </c>
    </row>
    <row r="27" spans="1:12">
      <c r="A27" t="s">
        <v>73</v>
      </c>
      <c r="B27" s="13">
        <v>46049</v>
      </c>
      <c r="C27" t="s">
        <v>12</v>
      </c>
      <c r="D27" t="s">
        <v>13</v>
      </c>
      <c r="E27" t="s">
        <v>23</v>
      </c>
      <c r="F27" t="s">
        <v>15</v>
      </c>
      <c r="G27">
        <v>1</v>
      </c>
      <c r="H27">
        <v>8810</v>
      </c>
      <c r="I27">
        <v>0.15</v>
      </c>
      <c r="J27">
        <v>7488.5</v>
      </c>
      <c r="K27" t="s">
        <v>42</v>
      </c>
      <c r="L27">
        <f t="shared" si="0"/>
        <v>1</v>
      </c>
    </row>
    <row r="28" spans="1:12">
      <c r="A28" t="s">
        <v>74</v>
      </c>
      <c r="B28" s="13">
        <v>46049</v>
      </c>
      <c r="C28" t="s">
        <v>18</v>
      </c>
      <c r="D28" t="s">
        <v>19</v>
      </c>
      <c r="E28" t="s">
        <v>32</v>
      </c>
      <c r="F28" t="s">
        <v>33</v>
      </c>
      <c r="G28">
        <v>1</v>
      </c>
      <c r="H28">
        <v>36740</v>
      </c>
      <c r="I28">
        <v>0</v>
      </c>
      <c r="J28">
        <v>36740</v>
      </c>
      <c r="K28" t="s">
        <v>75</v>
      </c>
      <c r="L28">
        <f t="shared" si="0"/>
        <v>1</v>
      </c>
    </row>
    <row r="29" spans="1:12">
      <c r="A29" t="s">
        <v>76</v>
      </c>
      <c r="B29" s="13">
        <v>46050</v>
      </c>
      <c r="C29" t="s">
        <v>31</v>
      </c>
      <c r="D29" t="s">
        <v>19</v>
      </c>
      <c r="E29" t="s">
        <v>14</v>
      </c>
      <c r="F29" t="s">
        <v>15</v>
      </c>
      <c r="G29">
        <v>3</v>
      </c>
      <c r="H29">
        <v>7430</v>
      </c>
      <c r="I29">
        <v>0</v>
      </c>
      <c r="J29">
        <v>22290</v>
      </c>
      <c r="K29" t="s">
        <v>77</v>
      </c>
      <c r="L29">
        <f t="shared" si="0"/>
        <v>1</v>
      </c>
    </row>
    <row r="30" spans="1:12">
      <c r="A30" t="s">
        <v>78</v>
      </c>
      <c r="B30" s="13">
        <v>46050</v>
      </c>
      <c r="C30" t="s">
        <v>12</v>
      </c>
      <c r="D30" t="s">
        <v>19</v>
      </c>
      <c r="E30" t="s">
        <v>70</v>
      </c>
      <c r="F30" t="s">
        <v>63</v>
      </c>
      <c r="G30">
        <v>2</v>
      </c>
      <c r="H30">
        <v>1780</v>
      </c>
      <c r="I30">
        <v>0.15</v>
      </c>
      <c r="J30">
        <v>3026</v>
      </c>
      <c r="K30" t="s">
        <v>29</v>
      </c>
      <c r="L30">
        <f t="shared" si="0"/>
        <v>1</v>
      </c>
    </row>
    <row r="31" spans="1:12">
      <c r="A31" t="s">
        <v>79</v>
      </c>
      <c r="B31" s="13">
        <v>46050</v>
      </c>
      <c r="C31" t="s">
        <v>18</v>
      </c>
      <c r="D31" t="s">
        <v>19</v>
      </c>
      <c r="E31" t="s">
        <v>27</v>
      </c>
      <c r="F31" t="s">
        <v>28</v>
      </c>
      <c r="G31">
        <v>1</v>
      </c>
      <c r="H31">
        <v>150</v>
      </c>
      <c r="I31">
        <v>0.1</v>
      </c>
      <c r="J31">
        <v>135</v>
      </c>
      <c r="K31" t="s">
        <v>80</v>
      </c>
      <c r="L31">
        <f t="shared" si="0"/>
        <v>1</v>
      </c>
    </row>
    <row r="32" spans="1:12">
      <c r="A32" t="s">
        <v>81</v>
      </c>
      <c r="B32" s="13">
        <v>46050</v>
      </c>
      <c r="C32" t="s">
        <v>12</v>
      </c>
      <c r="D32" t="s">
        <v>19</v>
      </c>
      <c r="E32" t="s">
        <v>27</v>
      </c>
      <c r="F32" t="s">
        <v>28</v>
      </c>
      <c r="G32">
        <v>4</v>
      </c>
      <c r="H32">
        <v>120</v>
      </c>
      <c r="I32">
        <v>0</v>
      </c>
      <c r="J32">
        <v>480</v>
      </c>
      <c r="K32" t="s">
        <v>77</v>
      </c>
      <c r="L32">
        <f t="shared" si="0"/>
        <v>1</v>
      </c>
    </row>
    <row r="33" spans="1:12">
      <c r="A33" t="s">
        <v>82</v>
      </c>
      <c r="B33" s="13">
        <v>46051</v>
      </c>
      <c r="C33" t="s">
        <v>22</v>
      </c>
      <c r="D33" t="s">
        <v>19</v>
      </c>
      <c r="E33" t="s">
        <v>27</v>
      </c>
      <c r="F33" t="s">
        <v>28</v>
      </c>
      <c r="G33">
        <v>2</v>
      </c>
      <c r="H33">
        <v>140</v>
      </c>
      <c r="I33">
        <v>0.15</v>
      </c>
      <c r="J33">
        <v>238</v>
      </c>
      <c r="K33" t="s">
        <v>75</v>
      </c>
      <c r="L33">
        <f t="shared" si="0"/>
        <v>1</v>
      </c>
    </row>
    <row r="34" spans="1:12">
      <c r="A34" t="s">
        <v>83</v>
      </c>
      <c r="B34" s="13">
        <v>46052</v>
      </c>
      <c r="C34" t="s">
        <v>31</v>
      </c>
      <c r="D34" t="s">
        <v>13</v>
      </c>
      <c r="E34" t="s">
        <v>84</v>
      </c>
      <c r="F34" t="s">
        <v>28</v>
      </c>
      <c r="G34">
        <v>1</v>
      </c>
      <c r="H34">
        <v>60</v>
      </c>
      <c r="I34">
        <v>0</v>
      </c>
      <c r="J34">
        <v>60</v>
      </c>
      <c r="K34" t="s">
        <v>85</v>
      </c>
      <c r="L34">
        <f t="shared" si="0"/>
        <v>1</v>
      </c>
    </row>
    <row r="35" spans="1:12">
      <c r="A35" t="s">
        <v>86</v>
      </c>
      <c r="B35" s="13">
        <v>46055</v>
      </c>
      <c r="C35" t="s">
        <v>51</v>
      </c>
      <c r="D35" t="s">
        <v>19</v>
      </c>
      <c r="E35" t="s">
        <v>23</v>
      </c>
      <c r="F35" t="s">
        <v>15</v>
      </c>
      <c r="G35">
        <v>4</v>
      </c>
      <c r="H35">
        <v>7810</v>
      </c>
      <c r="I35">
        <v>0</v>
      </c>
      <c r="J35">
        <v>31240</v>
      </c>
      <c r="K35" t="s">
        <v>87</v>
      </c>
      <c r="L35">
        <f t="shared" si="0"/>
        <v>2</v>
      </c>
    </row>
    <row r="36" spans="1:12">
      <c r="A36" t="s">
        <v>88</v>
      </c>
      <c r="B36" s="13">
        <v>46055</v>
      </c>
      <c r="C36" t="s">
        <v>12</v>
      </c>
      <c r="D36" t="s">
        <v>19</v>
      </c>
      <c r="E36" t="s">
        <v>84</v>
      </c>
      <c r="F36" t="s">
        <v>28</v>
      </c>
      <c r="G36">
        <v>1</v>
      </c>
      <c r="H36">
        <v>60</v>
      </c>
      <c r="I36">
        <v>0.15</v>
      </c>
      <c r="J36">
        <v>51</v>
      </c>
      <c r="K36" t="s">
        <v>52</v>
      </c>
      <c r="L36">
        <f t="shared" si="0"/>
        <v>2</v>
      </c>
    </row>
    <row r="37" spans="1:12">
      <c r="A37" t="s">
        <v>89</v>
      </c>
      <c r="B37" s="13">
        <v>46057</v>
      </c>
      <c r="C37" t="s">
        <v>51</v>
      </c>
      <c r="D37" t="s">
        <v>13</v>
      </c>
      <c r="E37" t="s">
        <v>70</v>
      </c>
      <c r="F37" t="s">
        <v>63</v>
      </c>
      <c r="G37">
        <v>2</v>
      </c>
      <c r="H37">
        <v>1450</v>
      </c>
      <c r="I37">
        <v>0</v>
      </c>
      <c r="J37">
        <v>2900</v>
      </c>
      <c r="K37" t="s">
        <v>90</v>
      </c>
      <c r="L37">
        <f t="shared" si="0"/>
        <v>2</v>
      </c>
    </row>
    <row r="38" spans="1:12">
      <c r="A38" t="s">
        <v>91</v>
      </c>
      <c r="B38" s="13">
        <v>46057</v>
      </c>
      <c r="C38" t="s">
        <v>18</v>
      </c>
      <c r="D38" t="s">
        <v>13</v>
      </c>
      <c r="E38" t="s">
        <v>70</v>
      </c>
      <c r="F38" t="s">
        <v>63</v>
      </c>
      <c r="G38">
        <v>4</v>
      </c>
      <c r="H38">
        <v>1250</v>
      </c>
      <c r="I38">
        <v>0</v>
      </c>
      <c r="J38">
        <v>5000</v>
      </c>
      <c r="K38" t="s">
        <v>92</v>
      </c>
      <c r="L38">
        <f t="shared" si="0"/>
        <v>2</v>
      </c>
    </row>
    <row r="39" spans="1:12">
      <c r="A39" t="s">
        <v>93</v>
      </c>
      <c r="B39" s="13">
        <v>46058</v>
      </c>
      <c r="C39" t="s">
        <v>12</v>
      </c>
      <c r="D39" t="s">
        <v>19</v>
      </c>
      <c r="E39" t="s">
        <v>62</v>
      </c>
      <c r="F39" t="s">
        <v>63</v>
      </c>
      <c r="G39">
        <v>2</v>
      </c>
      <c r="H39">
        <v>130</v>
      </c>
      <c r="I39">
        <v>0</v>
      </c>
      <c r="J39">
        <v>260</v>
      </c>
      <c r="K39" t="s">
        <v>94</v>
      </c>
      <c r="L39">
        <f t="shared" si="0"/>
        <v>2</v>
      </c>
    </row>
    <row r="40" spans="1:12">
      <c r="A40" t="s">
        <v>95</v>
      </c>
      <c r="B40" s="13">
        <v>46059</v>
      </c>
      <c r="C40" t="s">
        <v>51</v>
      </c>
      <c r="D40" t="s">
        <v>13</v>
      </c>
      <c r="E40" t="s">
        <v>41</v>
      </c>
      <c r="F40" t="s">
        <v>33</v>
      </c>
      <c r="G40">
        <v>2</v>
      </c>
      <c r="H40">
        <v>1500</v>
      </c>
      <c r="I40">
        <v>0</v>
      </c>
      <c r="J40">
        <v>3000</v>
      </c>
      <c r="K40" t="s">
        <v>45</v>
      </c>
      <c r="L40">
        <f t="shared" si="0"/>
        <v>2</v>
      </c>
    </row>
    <row r="41" spans="1:12">
      <c r="A41" t="s">
        <v>96</v>
      </c>
      <c r="B41" s="13">
        <v>46060</v>
      </c>
      <c r="C41" t="s">
        <v>18</v>
      </c>
      <c r="D41" t="s">
        <v>19</v>
      </c>
      <c r="E41" t="s">
        <v>14</v>
      </c>
      <c r="F41" t="s">
        <v>15</v>
      </c>
      <c r="G41">
        <v>2</v>
      </c>
      <c r="H41">
        <v>3560</v>
      </c>
      <c r="I41">
        <v>0.1</v>
      </c>
      <c r="J41">
        <v>6408</v>
      </c>
      <c r="K41" t="s">
        <v>97</v>
      </c>
      <c r="L41">
        <f t="shared" si="0"/>
        <v>2</v>
      </c>
    </row>
    <row r="42" spans="1:12">
      <c r="A42" t="s">
        <v>98</v>
      </c>
      <c r="B42" s="13">
        <v>46062</v>
      </c>
      <c r="C42" t="s">
        <v>22</v>
      </c>
      <c r="D42" t="s">
        <v>19</v>
      </c>
      <c r="E42" t="s">
        <v>23</v>
      </c>
      <c r="F42" t="s">
        <v>15</v>
      </c>
      <c r="G42">
        <v>1</v>
      </c>
      <c r="H42">
        <v>6900</v>
      </c>
      <c r="I42">
        <v>0.1</v>
      </c>
      <c r="J42">
        <v>6210</v>
      </c>
      <c r="K42" t="s">
        <v>60</v>
      </c>
      <c r="L42">
        <f t="shared" si="0"/>
        <v>2</v>
      </c>
    </row>
    <row r="43" spans="1:12">
      <c r="A43" t="s">
        <v>99</v>
      </c>
      <c r="B43" s="13">
        <v>46063</v>
      </c>
      <c r="C43" t="s">
        <v>18</v>
      </c>
      <c r="D43" t="s">
        <v>19</v>
      </c>
      <c r="E43" t="s">
        <v>23</v>
      </c>
      <c r="F43" t="s">
        <v>15</v>
      </c>
      <c r="G43">
        <v>3</v>
      </c>
      <c r="H43">
        <v>5330</v>
      </c>
      <c r="I43">
        <v>0.15</v>
      </c>
      <c r="J43">
        <v>13591.5</v>
      </c>
      <c r="K43" t="s">
        <v>100</v>
      </c>
      <c r="L43">
        <f t="shared" si="0"/>
        <v>2</v>
      </c>
    </row>
    <row r="44" spans="1:12">
      <c r="A44" t="s">
        <v>101</v>
      </c>
      <c r="B44" s="13">
        <v>46063</v>
      </c>
      <c r="C44" t="s">
        <v>12</v>
      </c>
      <c r="D44" t="s">
        <v>19</v>
      </c>
      <c r="E44" t="s">
        <v>41</v>
      </c>
      <c r="F44" t="s">
        <v>33</v>
      </c>
      <c r="G44">
        <v>3</v>
      </c>
      <c r="H44">
        <v>1780</v>
      </c>
      <c r="I44">
        <v>0</v>
      </c>
      <c r="J44">
        <v>5340</v>
      </c>
      <c r="K44" t="s">
        <v>90</v>
      </c>
      <c r="L44">
        <f t="shared" si="0"/>
        <v>2</v>
      </c>
    </row>
    <row r="45" spans="1:12">
      <c r="A45" t="s">
        <v>102</v>
      </c>
      <c r="B45" s="13">
        <v>46064</v>
      </c>
      <c r="C45" t="s">
        <v>22</v>
      </c>
      <c r="D45" t="s">
        <v>19</v>
      </c>
      <c r="E45" t="s">
        <v>84</v>
      </c>
      <c r="F45" t="s">
        <v>28</v>
      </c>
      <c r="G45">
        <v>3</v>
      </c>
      <c r="H45">
        <v>80</v>
      </c>
      <c r="I45">
        <v>0.15</v>
      </c>
      <c r="J45">
        <v>204</v>
      </c>
      <c r="K45" t="s">
        <v>94</v>
      </c>
      <c r="L45">
        <f t="shared" si="0"/>
        <v>2</v>
      </c>
    </row>
    <row r="46" spans="1:12">
      <c r="A46" t="s">
        <v>103</v>
      </c>
      <c r="B46" s="13">
        <v>46066</v>
      </c>
      <c r="C46" t="s">
        <v>12</v>
      </c>
      <c r="D46" t="s">
        <v>13</v>
      </c>
      <c r="E46" t="s">
        <v>41</v>
      </c>
      <c r="F46" t="s">
        <v>33</v>
      </c>
      <c r="G46">
        <v>1</v>
      </c>
      <c r="H46">
        <v>1540</v>
      </c>
      <c r="I46">
        <v>0.15</v>
      </c>
      <c r="J46">
        <v>1309</v>
      </c>
      <c r="K46" t="s">
        <v>104</v>
      </c>
      <c r="L46">
        <f t="shared" si="0"/>
        <v>2</v>
      </c>
    </row>
    <row r="47" spans="1:12">
      <c r="A47" t="s">
        <v>105</v>
      </c>
      <c r="B47" s="13">
        <v>46066</v>
      </c>
      <c r="C47" t="s">
        <v>18</v>
      </c>
      <c r="D47" t="s">
        <v>19</v>
      </c>
      <c r="E47" t="s">
        <v>84</v>
      </c>
      <c r="F47" t="s">
        <v>28</v>
      </c>
      <c r="G47">
        <v>1</v>
      </c>
      <c r="H47">
        <v>40</v>
      </c>
      <c r="I47">
        <v>0</v>
      </c>
      <c r="J47">
        <v>40</v>
      </c>
      <c r="K47" t="s">
        <v>106</v>
      </c>
      <c r="L47">
        <f t="shared" si="0"/>
        <v>2</v>
      </c>
    </row>
    <row r="48" spans="1:12">
      <c r="A48" t="s">
        <v>107</v>
      </c>
      <c r="B48" s="13">
        <v>46067</v>
      </c>
      <c r="C48" t="s">
        <v>31</v>
      </c>
      <c r="D48" t="s">
        <v>19</v>
      </c>
      <c r="E48" t="s">
        <v>14</v>
      </c>
      <c r="F48" t="s">
        <v>15</v>
      </c>
      <c r="G48">
        <v>4</v>
      </c>
      <c r="H48">
        <v>3630</v>
      </c>
      <c r="I48">
        <v>0.05</v>
      </c>
      <c r="J48">
        <v>13794</v>
      </c>
      <c r="K48" t="s">
        <v>72</v>
      </c>
      <c r="L48">
        <f t="shared" si="0"/>
        <v>2</v>
      </c>
    </row>
    <row r="49" spans="1:12">
      <c r="A49" t="s">
        <v>108</v>
      </c>
      <c r="B49" s="13">
        <v>46067</v>
      </c>
      <c r="C49" t="s">
        <v>31</v>
      </c>
      <c r="D49" t="s">
        <v>19</v>
      </c>
      <c r="E49" t="s">
        <v>84</v>
      </c>
      <c r="F49" t="s">
        <v>28</v>
      </c>
      <c r="G49">
        <v>1</v>
      </c>
      <c r="H49">
        <v>60</v>
      </c>
      <c r="I49">
        <v>0</v>
      </c>
      <c r="J49">
        <v>60</v>
      </c>
      <c r="K49" t="s">
        <v>109</v>
      </c>
      <c r="L49">
        <f t="shared" si="0"/>
        <v>2</v>
      </c>
    </row>
    <row r="50" spans="1:12">
      <c r="A50" t="s">
        <v>110</v>
      </c>
      <c r="B50" s="13">
        <v>46070</v>
      </c>
      <c r="C50" t="s">
        <v>22</v>
      </c>
      <c r="D50" t="s">
        <v>13</v>
      </c>
      <c r="E50" t="s">
        <v>32</v>
      </c>
      <c r="F50" t="s">
        <v>33</v>
      </c>
      <c r="G50">
        <v>1</v>
      </c>
      <c r="H50">
        <v>37940</v>
      </c>
      <c r="I50">
        <v>0</v>
      </c>
      <c r="J50">
        <v>37940</v>
      </c>
      <c r="K50" t="s">
        <v>111</v>
      </c>
      <c r="L50">
        <f t="shared" si="0"/>
        <v>2</v>
      </c>
    </row>
    <row r="51" spans="1:12">
      <c r="A51" t="s">
        <v>112</v>
      </c>
      <c r="B51" s="13">
        <v>46070</v>
      </c>
      <c r="C51" t="s">
        <v>12</v>
      </c>
      <c r="D51" t="s">
        <v>19</v>
      </c>
      <c r="E51" t="s">
        <v>70</v>
      </c>
      <c r="F51" t="s">
        <v>63</v>
      </c>
      <c r="G51">
        <v>1</v>
      </c>
      <c r="H51">
        <v>1780</v>
      </c>
      <c r="I51">
        <v>0.1</v>
      </c>
      <c r="J51">
        <v>1602</v>
      </c>
      <c r="K51" t="s">
        <v>60</v>
      </c>
      <c r="L51">
        <f t="shared" si="0"/>
        <v>2</v>
      </c>
    </row>
    <row r="52" spans="1:12">
      <c r="A52" t="s">
        <v>113</v>
      </c>
      <c r="B52" s="13">
        <v>46071</v>
      </c>
      <c r="C52" t="s">
        <v>22</v>
      </c>
      <c r="D52" t="s">
        <v>19</v>
      </c>
      <c r="E52" t="s">
        <v>62</v>
      </c>
      <c r="F52" t="s">
        <v>63</v>
      </c>
      <c r="G52">
        <v>3</v>
      </c>
      <c r="H52">
        <v>300</v>
      </c>
      <c r="I52">
        <v>0.05</v>
      </c>
      <c r="J52">
        <v>855</v>
      </c>
      <c r="K52" t="s">
        <v>114</v>
      </c>
      <c r="L52">
        <f t="shared" si="0"/>
        <v>2</v>
      </c>
    </row>
    <row r="53" spans="1:12">
      <c r="A53" t="s">
        <v>115</v>
      </c>
      <c r="B53" s="13">
        <v>46072</v>
      </c>
      <c r="C53" t="s">
        <v>51</v>
      </c>
      <c r="D53" t="s">
        <v>19</v>
      </c>
      <c r="E53" t="s">
        <v>70</v>
      </c>
      <c r="F53" t="s">
        <v>63</v>
      </c>
      <c r="G53">
        <v>4</v>
      </c>
      <c r="H53">
        <v>1780</v>
      </c>
      <c r="I53">
        <v>0.05</v>
      </c>
      <c r="J53">
        <v>6764</v>
      </c>
      <c r="K53" t="s">
        <v>97</v>
      </c>
      <c r="L53">
        <f t="shared" si="0"/>
        <v>2</v>
      </c>
    </row>
    <row r="54" spans="1:12">
      <c r="A54" t="s">
        <v>116</v>
      </c>
      <c r="B54" s="13">
        <v>46073</v>
      </c>
      <c r="C54" t="s">
        <v>22</v>
      </c>
      <c r="D54" t="s">
        <v>13</v>
      </c>
      <c r="E54" t="s">
        <v>84</v>
      </c>
      <c r="F54" t="s">
        <v>28</v>
      </c>
      <c r="G54">
        <v>1</v>
      </c>
      <c r="H54">
        <v>60</v>
      </c>
      <c r="I54">
        <v>0.15</v>
      </c>
      <c r="J54">
        <v>51</v>
      </c>
      <c r="K54" t="s">
        <v>117</v>
      </c>
      <c r="L54">
        <f t="shared" si="0"/>
        <v>2</v>
      </c>
    </row>
    <row r="55" spans="1:12">
      <c r="A55" t="s">
        <v>118</v>
      </c>
      <c r="B55" s="13">
        <v>46073</v>
      </c>
      <c r="C55" t="s">
        <v>22</v>
      </c>
      <c r="D55" t="s">
        <v>19</v>
      </c>
      <c r="E55" t="s">
        <v>14</v>
      </c>
      <c r="F55" t="s">
        <v>15</v>
      </c>
      <c r="G55">
        <v>1</v>
      </c>
      <c r="H55">
        <v>6070</v>
      </c>
      <c r="I55">
        <v>0.15</v>
      </c>
      <c r="J55">
        <v>5159.5</v>
      </c>
      <c r="K55" t="s">
        <v>119</v>
      </c>
      <c r="L55">
        <f t="shared" si="0"/>
        <v>2</v>
      </c>
    </row>
    <row r="56" spans="1:12">
      <c r="A56" t="s">
        <v>120</v>
      </c>
      <c r="B56" s="13">
        <v>46073</v>
      </c>
      <c r="C56" t="s">
        <v>31</v>
      </c>
      <c r="D56" t="s">
        <v>19</v>
      </c>
      <c r="E56" t="s">
        <v>41</v>
      </c>
      <c r="F56" t="s">
        <v>33</v>
      </c>
      <c r="G56">
        <v>1</v>
      </c>
      <c r="H56">
        <v>2110</v>
      </c>
      <c r="I56">
        <v>0</v>
      </c>
      <c r="J56">
        <v>2110</v>
      </c>
      <c r="K56" t="s">
        <v>52</v>
      </c>
      <c r="L56">
        <f t="shared" si="0"/>
        <v>2</v>
      </c>
    </row>
    <row r="57" spans="1:12">
      <c r="A57" t="s">
        <v>121</v>
      </c>
      <c r="B57" s="13">
        <v>46074</v>
      </c>
      <c r="C57" t="s">
        <v>51</v>
      </c>
      <c r="D57" t="s">
        <v>19</v>
      </c>
      <c r="E57" t="s">
        <v>14</v>
      </c>
      <c r="F57" t="s">
        <v>15</v>
      </c>
      <c r="G57">
        <v>1</v>
      </c>
      <c r="H57">
        <v>4490</v>
      </c>
      <c r="I57">
        <v>0</v>
      </c>
      <c r="J57">
        <v>4490</v>
      </c>
      <c r="K57" t="s">
        <v>54</v>
      </c>
      <c r="L57">
        <f t="shared" si="0"/>
        <v>2</v>
      </c>
    </row>
    <row r="58" spans="1:12">
      <c r="A58" t="s">
        <v>122</v>
      </c>
      <c r="B58" s="13">
        <v>46075</v>
      </c>
      <c r="C58" t="s">
        <v>12</v>
      </c>
      <c r="D58" t="s">
        <v>19</v>
      </c>
      <c r="E58" t="s">
        <v>62</v>
      </c>
      <c r="F58" t="s">
        <v>63</v>
      </c>
      <c r="G58">
        <v>1</v>
      </c>
      <c r="H58">
        <v>200</v>
      </c>
      <c r="I58">
        <v>0</v>
      </c>
      <c r="J58">
        <v>200</v>
      </c>
      <c r="K58" t="s">
        <v>65</v>
      </c>
      <c r="L58">
        <f t="shared" si="0"/>
        <v>2</v>
      </c>
    </row>
    <row r="59" spans="1:12">
      <c r="A59" t="s">
        <v>123</v>
      </c>
      <c r="B59" s="13">
        <v>46075</v>
      </c>
      <c r="C59" t="s">
        <v>12</v>
      </c>
      <c r="D59" t="s">
        <v>19</v>
      </c>
      <c r="E59" t="s">
        <v>32</v>
      </c>
      <c r="F59" t="s">
        <v>33</v>
      </c>
      <c r="G59">
        <v>1</v>
      </c>
      <c r="H59">
        <v>41900</v>
      </c>
      <c r="I59">
        <v>0.05</v>
      </c>
      <c r="J59">
        <v>39805</v>
      </c>
      <c r="K59" t="s">
        <v>58</v>
      </c>
      <c r="L59">
        <f t="shared" si="0"/>
        <v>2</v>
      </c>
    </row>
    <row r="60" spans="1:12">
      <c r="A60" t="s">
        <v>124</v>
      </c>
      <c r="B60" s="13">
        <v>46075</v>
      </c>
      <c r="C60" t="s">
        <v>31</v>
      </c>
      <c r="D60" t="s">
        <v>19</v>
      </c>
      <c r="E60" t="s">
        <v>23</v>
      </c>
      <c r="F60" t="s">
        <v>15</v>
      </c>
      <c r="G60">
        <v>1</v>
      </c>
      <c r="H60">
        <v>6150</v>
      </c>
      <c r="I60">
        <v>0.15</v>
      </c>
      <c r="J60">
        <v>5227.5</v>
      </c>
      <c r="K60" t="s">
        <v>45</v>
      </c>
      <c r="L60">
        <f t="shared" si="0"/>
        <v>2</v>
      </c>
    </row>
    <row r="61" spans="1:12">
      <c r="A61" t="s">
        <v>125</v>
      </c>
      <c r="B61" s="13">
        <v>46076</v>
      </c>
      <c r="C61" t="s">
        <v>51</v>
      </c>
      <c r="D61" t="s">
        <v>19</v>
      </c>
      <c r="E61" t="s">
        <v>23</v>
      </c>
      <c r="F61" t="s">
        <v>15</v>
      </c>
      <c r="G61">
        <v>1</v>
      </c>
      <c r="H61">
        <v>8770</v>
      </c>
      <c r="I61">
        <v>0.15</v>
      </c>
      <c r="J61">
        <v>7454.5</v>
      </c>
      <c r="K61" t="s">
        <v>45</v>
      </c>
      <c r="L61">
        <f t="shared" si="0"/>
        <v>2</v>
      </c>
    </row>
    <row r="62" spans="1:12">
      <c r="A62" t="s">
        <v>126</v>
      </c>
      <c r="B62" s="13">
        <v>46076</v>
      </c>
      <c r="C62" t="s">
        <v>31</v>
      </c>
      <c r="D62" t="s">
        <v>13</v>
      </c>
      <c r="E62" t="s">
        <v>84</v>
      </c>
      <c r="F62" t="s">
        <v>28</v>
      </c>
      <c r="G62">
        <v>2</v>
      </c>
      <c r="H62">
        <v>50</v>
      </c>
      <c r="I62">
        <v>0.15</v>
      </c>
      <c r="J62">
        <v>85</v>
      </c>
      <c r="K62" t="s">
        <v>60</v>
      </c>
      <c r="L62">
        <f t="shared" si="0"/>
        <v>2</v>
      </c>
    </row>
    <row r="63" spans="1:12">
      <c r="A63" t="s">
        <v>127</v>
      </c>
      <c r="B63" s="13">
        <v>46077</v>
      </c>
      <c r="C63" t="s">
        <v>12</v>
      </c>
      <c r="D63" t="s">
        <v>13</v>
      </c>
      <c r="E63" t="s">
        <v>70</v>
      </c>
      <c r="F63" t="s">
        <v>63</v>
      </c>
      <c r="G63">
        <v>1</v>
      </c>
      <c r="H63">
        <v>1450</v>
      </c>
      <c r="I63">
        <v>0</v>
      </c>
      <c r="J63">
        <v>1450</v>
      </c>
      <c r="K63" t="s">
        <v>128</v>
      </c>
      <c r="L63">
        <f t="shared" si="0"/>
        <v>2</v>
      </c>
    </row>
    <row r="64" spans="1:12">
      <c r="A64" t="s">
        <v>129</v>
      </c>
      <c r="B64" s="13">
        <v>46080</v>
      </c>
      <c r="C64" t="s">
        <v>18</v>
      </c>
      <c r="D64" t="s">
        <v>13</v>
      </c>
      <c r="E64" t="s">
        <v>41</v>
      </c>
      <c r="F64" t="s">
        <v>33</v>
      </c>
      <c r="G64">
        <v>1</v>
      </c>
      <c r="H64">
        <v>2080</v>
      </c>
      <c r="I64">
        <v>0</v>
      </c>
      <c r="J64">
        <v>2080</v>
      </c>
      <c r="K64" t="s">
        <v>36</v>
      </c>
      <c r="L64">
        <f t="shared" si="0"/>
        <v>2</v>
      </c>
    </row>
    <row r="65" spans="1:12">
      <c r="A65" t="s">
        <v>130</v>
      </c>
      <c r="B65" s="13">
        <v>46081</v>
      </c>
      <c r="C65" t="s">
        <v>22</v>
      </c>
      <c r="D65" t="s">
        <v>19</v>
      </c>
      <c r="E65" t="s">
        <v>41</v>
      </c>
      <c r="F65" t="s">
        <v>33</v>
      </c>
      <c r="G65">
        <v>1</v>
      </c>
      <c r="H65">
        <v>1600</v>
      </c>
      <c r="I65">
        <v>0.15</v>
      </c>
      <c r="J65">
        <v>1360</v>
      </c>
      <c r="K65" t="s">
        <v>80</v>
      </c>
      <c r="L65">
        <f t="shared" si="0"/>
        <v>2</v>
      </c>
    </row>
    <row r="66" spans="1:12">
      <c r="A66" t="s">
        <v>131</v>
      </c>
      <c r="B66" s="13">
        <v>46081</v>
      </c>
      <c r="C66" t="s">
        <v>12</v>
      </c>
      <c r="D66" t="s">
        <v>13</v>
      </c>
      <c r="E66" t="s">
        <v>41</v>
      </c>
      <c r="F66" t="s">
        <v>33</v>
      </c>
      <c r="G66">
        <v>2</v>
      </c>
      <c r="H66">
        <v>1270</v>
      </c>
      <c r="I66">
        <v>0</v>
      </c>
      <c r="J66">
        <v>2540</v>
      </c>
      <c r="K66" t="s">
        <v>111</v>
      </c>
      <c r="L66">
        <f t="shared" ref="L66:L129" si="1">MONTH(B66)</f>
        <v>2</v>
      </c>
    </row>
    <row r="67" spans="1:12">
      <c r="A67" t="s">
        <v>132</v>
      </c>
      <c r="B67" s="13">
        <v>46082</v>
      </c>
      <c r="C67" t="s">
        <v>22</v>
      </c>
      <c r="D67" t="s">
        <v>13</v>
      </c>
      <c r="E67" t="s">
        <v>23</v>
      </c>
      <c r="F67" t="s">
        <v>15</v>
      </c>
      <c r="G67">
        <v>4</v>
      </c>
      <c r="H67">
        <v>6190</v>
      </c>
      <c r="I67">
        <v>0.1</v>
      </c>
      <c r="J67">
        <v>22284</v>
      </c>
      <c r="K67" t="s">
        <v>77</v>
      </c>
      <c r="L67">
        <f t="shared" si="1"/>
        <v>3</v>
      </c>
    </row>
    <row r="68" spans="1:12">
      <c r="A68" t="s">
        <v>133</v>
      </c>
      <c r="B68" s="13">
        <v>46084</v>
      </c>
      <c r="C68" t="s">
        <v>31</v>
      </c>
      <c r="D68" t="s">
        <v>13</v>
      </c>
      <c r="E68" t="s">
        <v>84</v>
      </c>
      <c r="F68" t="s">
        <v>28</v>
      </c>
      <c r="G68">
        <v>3</v>
      </c>
      <c r="H68">
        <v>70</v>
      </c>
      <c r="I68">
        <v>0</v>
      </c>
      <c r="J68">
        <v>210</v>
      </c>
      <c r="K68" t="s">
        <v>134</v>
      </c>
      <c r="L68">
        <f t="shared" si="1"/>
        <v>3</v>
      </c>
    </row>
    <row r="69" spans="1:12">
      <c r="A69" t="s">
        <v>135</v>
      </c>
      <c r="B69" s="13">
        <v>46084</v>
      </c>
      <c r="C69" t="s">
        <v>51</v>
      </c>
      <c r="D69" t="s">
        <v>13</v>
      </c>
      <c r="E69" t="s">
        <v>32</v>
      </c>
      <c r="F69" t="s">
        <v>33</v>
      </c>
      <c r="G69">
        <v>1</v>
      </c>
      <c r="H69">
        <v>40610</v>
      </c>
      <c r="I69">
        <v>0</v>
      </c>
      <c r="J69">
        <v>40610</v>
      </c>
      <c r="K69" t="s">
        <v>136</v>
      </c>
      <c r="L69">
        <f t="shared" si="1"/>
        <v>3</v>
      </c>
    </row>
    <row r="70" spans="1:12">
      <c r="A70" t="s">
        <v>137</v>
      </c>
      <c r="B70" s="13">
        <v>46084</v>
      </c>
      <c r="C70" t="s">
        <v>18</v>
      </c>
      <c r="D70" t="s">
        <v>19</v>
      </c>
      <c r="E70" t="s">
        <v>27</v>
      </c>
      <c r="F70" t="s">
        <v>28</v>
      </c>
      <c r="G70">
        <v>1</v>
      </c>
      <c r="H70">
        <v>120</v>
      </c>
      <c r="I70">
        <v>0.1</v>
      </c>
      <c r="J70">
        <v>108</v>
      </c>
      <c r="K70" t="s">
        <v>45</v>
      </c>
      <c r="L70">
        <f t="shared" si="1"/>
        <v>3</v>
      </c>
    </row>
    <row r="71" spans="1:12">
      <c r="A71" t="s">
        <v>138</v>
      </c>
      <c r="B71" s="13">
        <v>46085</v>
      </c>
      <c r="C71" t="s">
        <v>12</v>
      </c>
      <c r="D71" t="s">
        <v>13</v>
      </c>
      <c r="E71" t="s">
        <v>32</v>
      </c>
      <c r="F71" t="s">
        <v>33</v>
      </c>
      <c r="G71">
        <v>1</v>
      </c>
      <c r="H71">
        <v>35980</v>
      </c>
      <c r="I71">
        <v>0</v>
      </c>
      <c r="J71">
        <v>35980</v>
      </c>
      <c r="K71" t="s">
        <v>92</v>
      </c>
      <c r="L71">
        <f t="shared" si="1"/>
        <v>3</v>
      </c>
    </row>
    <row r="72" spans="1:12">
      <c r="A72" t="s">
        <v>139</v>
      </c>
      <c r="B72" s="13">
        <v>46085</v>
      </c>
      <c r="C72" t="s">
        <v>12</v>
      </c>
      <c r="D72" t="s">
        <v>13</v>
      </c>
      <c r="E72" t="s">
        <v>70</v>
      </c>
      <c r="F72" t="s">
        <v>63</v>
      </c>
      <c r="G72">
        <v>4</v>
      </c>
      <c r="H72">
        <v>1710</v>
      </c>
      <c r="I72">
        <v>0.15</v>
      </c>
      <c r="J72">
        <v>5814</v>
      </c>
      <c r="K72" t="s">
        <v>140</v>
      </c>
      <c r="L72">
        <f t="shared" si="1"/>
        <v>3</v>
      </c>
    </row>
    <row r="73" spans="1:12">
      <c r="A73" t="s">
        <v>141</v>
      </c>
      <c r="B73" s="13">
        <v>46086</v>
      </c>
      <c r="C73" t="s">
        <v>31</v>
      </c>
      <c r="D73" t="s">
        <v>19</v>
      </c>
      <c r="E73" t="s">
        <v>41</v>
      </c>
      <c r="F73" t="s">
        <v>33</v>
      </c>
      <c r="G73">
        <v>3</v>
      </c>
      <c r="H73">
        <v>1050</v>
      </c>
      <c r="I73">
        <v>0</v>
      </c>
      <c r="J73">
        <v>3150</v>
      </c>
      <c r="K73" t="s">
        <v>142</v>
      </c>
      <c r="L73">
        <f t="shared" si="1"/>
        <v>3</v>
      </c>
    </row>
    <row r="74" spans="1:12">
      <c r="A74" t="s">
        <v>143</v>
      </c>
      <c r="B74" s="13">
        <v>46087</v>
      </c>
      <c r="C74" t="s">
        <v>22</v>
      </c>
      <c r="D74" t="s">
        <v>19</v>
      </c>
      <c r="E74" t="s">
        <v>62</v>
      </c>
      <c r="F74" t="s">
        <v>63</v>
      </c>
      <c r="G74">
        <v>1</v>
      </c>
      <c r="H74">
        <v>130</v>
      </c>
      <c r="I74">
        <v>0</v>
      </c>
      <c r="J74">
        <v>130</v>
      </c>
      <c r="K74" t="s">
        <v>45</v>
      </c>
      <c r="L74">
        <f t="shared" si="1"/>
        <v>3</v>
      </c>
    </row>
    <row r="75" spans="1:12">
      <c r="A75" t="s">
        <v>144</v>
      </c>
      <c r="B75" s="13">
        <v>46088</v>
      </c>
      <c r="C75" t="s">
        <v>51</v>
      </c>
      <c r="D75" t="s">
        <v>13</v>
      </c>
      <c r="E75" t="s">
        <v>84</v>
      </c>
      <c r="F75" t="s">
        <v>28</v>
      </c>
      <c r="G75">
        <v>1</v>
      </c>
      <c r="H75">
        <v>40</v>
      </c>
      <c r="I75">
        <v>0</v>
      </c>
      <c r="J75">
        <v>40</v>
      </c>
      <c r="K75" t="s">
        <v>145</v>
      </c>
      <c r="L75">
        <f t="shared" si="1"/>
        <v>3</v>
      </c>
    </row>
    <row r="76" spans="1:12">
      <c r="A76" t="s">
        <v>146</v>
      </c>
      <c r="B76" s="13">
        <v>46093</v>
      </c>
      <c r="C76" t="s">
        <v>12</v>
      </c>
      <c r="D76" t="s">
        <v>13</v>
      </c>
      <c r="E76" t="s">
        <v>84</v>
      </c>
      <c r="F76" t="s">
        <v>28</v>
      </c>
      <c r="G76">
        <v>1</v>
      </c>
      <c r="H76">
        <v>80</v>
      </c>
      <c r="I76">
        <v>0.05</v>
      </c>
      <c r="J76">
        <v>76</v>
      </c>
      <c r="K76" t="s">
        <v>54</v>
      </c>
      <c r="L76">
        <f t="shared" si="1"/>
        <v>3</v>
      </c>
    </row>
    <row r="77" spans="1:12">
      <c r="A77" t="s">
        <v>147</v>
      </c>
      <c r="B77" s="13">
        <v>46093</v>
      </c>
      <c r="C77" t="s">
        <v>31</v>
      </c>
      <c r="D77" t="s">
        <v>19</v>
      </c>
      <c r="E77" t="s">
        <v>41</v>
      </c>
      <c r="F77" t="s">
        <v>33</v>
      </c>
      <c r="G77">
        <v>2</v>
      </c>
      <c r="H77">
        <v>1200</v>
      </c>
      <c r="I77">
        <v>0</v>
      </c>
      <c r="J77">
        <v>2400</v>
      </c>
      <c r="K77" t="s">
        <v>114</v>
      </c>
      <c r="L77">
        <f t="shared" si="1"/>
        <v>3</v>
      </c>
    </row>
    <row r="78" spans="1:12">
      <c r="A78" t="s">
        <v>148</v>
      </c>
      <c r="B78" s="13">
        <v>46094</v>
      </c>
      <c r="C78" t="s">
        <v>31</v>
      </c>
      <c r="D78" t="s">
        <v>13</v>
      </c>
      <c r="E78" t="s">
        <v>70</v>
      </c>
      <c r="F78" t="s">
        <v>63</v>
      </c>
      <c r="G78">
        <v>1</v>
      </c>
      <c r="H78">
        <v>1320</v>
      </c>
      <c r="I78">
        <v>0</v>
      </c>
      <c r="J78">
        <v>1320</v>
      </c>
      <c r="K78" t="s">
        <v>56</v>
      </c>
      <c r="L78">
        <f t="shared" si="1"/>
        <v>3</v>
      </c>
    </row>
    <row r="79" spans="1:12">
      <c r="A79" t="s">
        <v>149</v>
      </c>
      <c r="B79" s="13">
        <v>46094</v>
      </c>
      <c r="C79" t="s">
        <v>22</v>
      </c>
      <c r="D79" t="s">
        <v>13</v>
      </c>
      <c r="E79" t="s">
        <v>84</v>
      </c>
      <c r="F79" t="s">
        <v>28</v>
      </c>
      <c r="G79">
        <v>2</v>
      </c>
      <c r="H79">
        <v>80</v>
      </c>
      <c r="I79">
        <v>0.15</v>
      </c>
      <c r="J79">
        <v>136</v>
      </c>
      <c r="K79" t="s">
        <v>142</v>
      </c>
      <c r="L79">
        <f t="shared" si="1"/>
        <v>3</v>
      </c>
    </row>
    <row r="80" spans="1:12">
      <c r="A80" t="s">
        <v>150</v>
      </c>
      <c r="B80" s="13">
        <v>46095</v>
      </c>
      <c r="C80" t="s">
        <v>51</v>
      </c>
      <c r="D80" t="s">
        <v>19</v>
      </c>
      <c r="E80" t="s">
        <v>70</v>
      </c>
      <c r="F80" t="s">
        <v>63</v>
      </c>
      <c r="G80">
        <v>1</v>
      </c>
      <c r="H80">
        <v>1370</v>
      </c>
      <c r="I80">
        <v>0.1</v>
      </c>
      <c r="J80">
        <v>1233</v>
      </c>
      <c r="K80" t="s">
        <v>97</v>
      </c>
      <c r="L80">
        <f t="shared" si="1"/>
        <v>3</v>
      </c>
    </row>
    <row r="81" spans="1:12">
      <c r="A81" t="s">
        <v>151</v>
      </c>
      <c r="B81" s="13">
        <v>46097</v>
      </c>
      <c r="C81" t="s">
        <v>51</v>
      </c>
      <c r="D81" t="s">
        <v>13</v>
      </c>
      <c r="E81" t="s">
        <v>23</v>
      </c>
      <c r="F81" t="s">
        <v>15</v>
      </c>
      <c r="G81">
        <v>3</v>
      </c>
      <c r="H81">
        <v>6830</v>
      </c>
      <c r="I81">
        <v>0</v>
      </c>
      <c r="J81">
        <v>20490</v>
      </c>
      <c r="K81" t="s">
        <v>75</v>
      </c>
      <c r="L81">
        <f t="shared" si="1"/>
        <v>3</v>
      </c>
    </row>
    <row r="82" spans="1:12">
      <c r="A82" t="s">
        <v>152</v>
      </c>
      <c r="B82" s="13">
        <v>46097</v>
      </c>
      <c r="C82" t="s">
        <v>22</v>
      </c>
      <c r="D82" t="s">
        <v>19</v>
      </c>
      <c r="E82" t="s">
        <v>41</v>
      </c>
      <c r="F82" t="s">
        <v>33</v>
      </c>
      <c r="G82">
        <v>4</v>
      </c>
      <c r="H82">
        <v>1760</v>
      </c>
      <c r="I82">
        <v>0</v>
      </c>
      <c r="J82">
        <v>7040</v>
      </c>
      <c r="K82" t="s">
        <v>142</v>
      </c>
      <c r="L82">
        <f t="shared" si="1"/>
        <v>3</v>
      </c>
    </row>
    <row r="83" spans="1:12">
      <c r="A83" t="s">
        <v>153</v>
      </c>
      <c r="B83" s="13">
        <v>46103</v>
      </c>
      <c r="C83" t="s">
        <v>18</v>
      </c>
      <c r="D83" t="s">
        <v>13</v>
      </c>
      <c r="E83" t="s">
        <v>70</v>
      </c>
      <c r="F83" t="s">
        <v>63</v>
      </c>
      <c r="G83">
        <v>3</v>
      </c>
      <c r="H83">
        <v>1470</v>
      </c>
      <c r="I83">
        <v>0</v>
      </c>
      <c r="J83">
        <v>4410</v>
      </c>
      <c r="K83" t="s">
        <v>92</v>
      </c>
      <c r="L83">
        <f t="shared" si="1"/>
        <v>3</v>
      </c>
    </row>
    <row r="84" spans="1:12">
      <c r="A84" t="s">
        <v>154</v>
      </c>
      <c r="B84" s="13">
        <v>46103</v>
      </c>
      <c r="C84" t="s">
        <v>51</v>
      </c>
      <c r="D84" t="s">
        <v>19</v>
      </c>
      <c r="E84" t="s">
        <v>14</v>
      </c>
      <c r="F84" t="s">
        <v>15</v>
      </c>
      <c r="G84">
        <v>4</v>
      </c>
      <c r="H84">
        <v>6870</v>
      </c>
      <c r="I84">
        <v>0</v>
      </c>
      <c r="J84">
        <v>27480</v>
      </c>
      <c r="K84" t="s">
        <v>90</v>
      </c>
      <c r="L84">
        <f t="shared" si="1"/>
        <v>3</v>
      </c>
    </row>
    <row r="85" spans="1:12">
      <c r="A85" t="s">
        <v>155</v>
      </c>
      <c r="B85" s="13">
        <v>46104</v>
      </c>
      <c r="C85" t="s">
        <v>18</v>
      </c>
      <c r="D85" t="s">
        <v>19</v>
      </c>
      <c r="E85" t="s">
        <v>84</v>
      </c>
      <c r="F85" t="s">
        <v>28</v>
      </c>
      <c r="G85">
        <v>2</v>
      </c>
      <c r="H85">
        <v>70</v>
      </c>
      <c r="I85">
        <v>0</v>
      </c>
      <c r="J85">
        <v>140</v>
      </c>
      <c r="K85" t="s">
        <v>134</v>
      </c>
      <c r="L85">
        <f t="shared" si="1"/>
        <v>3</v>
      </c>
    </row>
    <row r="86" spans="1:12">
      <c r="A86" t="s">
        <v>156</v>
      </c>
      <c r="B86" s="13">
        <v>46106</v>
      </c>
      <c r="C86" t="s">
        <v>22</v>
      </c>
      <c r="D86" t="s">
        <v>19</v>
      </c>
      <c r="E86" t="s">
        <v>27</v>
      </c>
      <c r="F86" t="s">
        <v>28</v>
      </c>
      <c r="G86">
        <v>2</v>
      </c>
      <c r="H86">
        <v>110</v>
      </c>
      <c r="I86">
        <v>0.15</v>
      </c>
      <c r="J86">
        <v>187</v>
      </c>
      <c r="K86" t="s">
        <v>42</v>
      </c>
      <c r="L86">
        <f t="shared" si="1"/>
        <v>3</v>
      </c>
    </row>
    <row r="87" spans="1:12">
      <c r="A87" t="s">
        <v>157</v>
      </c>
      <c r="B87" s="13">
        <v>46106</v>
      </c>
      <c r="C87" t="s">
        <v>18</v>
      </c>
      <c r="D87" t="s">
        <v>19</v>
      </c>
      <c r="E87" t="s">
        <v>70</v>
      </c>
      <c r="F87" t="s">
        <v>63</v>
      </c>
      <c r="G87">
        <v>1</v>
      </c>
      <c r="H87">
        <v>960</v>
      </c>
      <c r="I87">
        <v>0.15</v>
      </c>
      <c r="J87">
        <v>816</v>
      </c>
      <c r="K87" t="s">
        <v>106</v>
      </c>
      <c r="L87">
        <f t="shared" si="1"/>
        <v>3</v>
      </c>
    </row>
    <row r="88" spans="1:12">
      <c r="A88" t="s">
        <v>158</v>
      </c>
      <c r="B88" s="13">
        <v>46108</v>
      </c>
      <c r="C88" t="s">
        <v>51</v>
      </c>
      <c r="D88" t="s">
        <v>13</v>
      </c>
      <c r="E88" t="s">
        <v>27</v>
      </c>
      <c r="F88" t="s">
        <v>28</v>
      </c>
      <c r="G88">
        <v>3</v>
      </c>
      <c r="H88">
        <v>190</v>
      </c>
      <c r="I88">
        <v>0.05</v>
      </c>
      <c r="J88">
        <v>541.5</v>
      </c>
      <c r="K88" t="s">
        <v>85</v>
      </c>
      <c r="L88">
        <f t="shared" si="1"/>
        <v>3</v>
      </c>
    </row>
    <row r="89" spans="1:12">
      <c r="A89" t="s">
        <v>159</v>
      </c>
      <c r="B89" s="13">
        <v>46110</v>
      </c>
      <c r="C89" t="s">
        <v>51</v>
      </c>
      <c r="D89" t="s">
        <v>19</v>
      </c>
      <c r="E89" t="s">
        <v>84</v>
      </c>
      <c r="F89" t="s">
        <v>28</v>
      </c>
      <c r="G89">
        <v>2</v>
      </c>
      <c r="H89">
        <v>70</v>
      </c>
      <c r="I89">
        <v>0</v>
      </c>
      <c r="J89">
        <v>140</v>
      </c>
      <c r="K89" t="s">
        <v>24</v>
      </c>
      <c r="L89">
        <f t="shared" si="1"/>
        <v>3</v>
      </c>
    </row>
    <row r="90" spans="1:12">
      <c r="A90" t="s">
        <v>160</v>
      </c>
      <c r="B90" s="13">
        <v>46110</v>
      </c>
      <c r="C90" t="s">
        <v>12</v>
      </c>
      <c r="D90" t="s">
        <v>13</v>
      </c>
      <c r="E90" t="s">
        <v>41</v>
      </c>
      <c r="F90" t="s">
        <v>33</v>
      </c>
      <c r="G90">
        <v>3</v>
      </c>
      <c r="H90">
        <v>1480</v>
      </c>
      <c r="I90">
        <v>0.15</v>
      </c>
      <c r="J90">
        <v>3774</v>
      </c>
      <c r="K90" t="s">
        <v>134</v>
      </c>
      <c r="L90">
        <f t="shared" si="1"/>
        <v>3</v>
      </c>
    </row>
    <row r="91" spans="1:12">
      <c r="A91" t="s">
        <v>161</v>
      </c>
      <c r="B91" s="13">
        <v>46110</v>
      </c>
      <c r="C91" t="s">
        <v>12</v>
      </c>
      <c r="D91" t="s">
        <v>13</v>
      </c>
      <c r="E91" t="s">
        <v>41</v>
      </c>
      <c r="F91" t="s">
        <v>33</v>
      </c>
      <c r="G91">
        <v>1</v>
      </c>
      <c r="H91">
        <v>1720</v>
      </c>
      <c r="I91">
        <v>0</v>
      </c>
      <c r="J91">
        <v>1720</v>
      </c>
      <c r="K91" t="s">
        <v>42</v>
      </c>
      <c r="L91">
        <f t="shared" si="1"/>
        <v>3</v>
      </c>
    </row>
    <row r="92" spans="1:12">
      <c r="A92" t="s">
        <v>162</v>
      </c>
      <c r="B92" s="13">
        <v>46111</v>
      </c>
      <c r="C92" t="s">
        <v>22</v>
      </c>
      <c r="D92" t="s">
        <v>19</v>
      </c>
      <c r="E92" t="s">
        <v>23</v>
      </c>
      <c r="F92" t="s">
        <v>15</v>
      </c>
      <c r="G92">
        <v>2</v>
      </c>
      <c r="H92">
        <v>6050</v>
      </c>
      <c r="I92">
        <v>0</v>
      </c>
      <c r="J92">
        <v>12100</v>
      </c>
      <c r="K92" t="s">
        <v>58</v>
      </c>
      <c r="L92">
        <f t="shared" si="1"/>
        <v>3</v>
      </c>
    </row>
    <row r="93" spans="1:12">
      <c r="A93" t="s">
        <v>163</v>
      </c>
      <c r="B93" s="13">
        <v>46111</v>
      </c>
      <c r="C93" t="s">
        <v>51</v>
      </c>
      <c r="D93" t="s">
        <v>13</v>
      </c>
      <c r="E93" t="s">
        <v>84</v>
      </c>
      <c r="F93" t="s">
        <v>28</v>
      </c>
      <c r="G93">
        <v>2</v>
      </c>
      <c r="H93">
        <v>60</v>
      </c>
      <c r="I93">
        <v>0</v>
      </c>
      <c r="J93">
        <v>120</v>
      </c>
      <c r="K93" t="s">
        <v>75</v>
      </c>
      <c r="L93">
        <f t="shared" si="1"/>
        <v>3</v>
      </c>
    </row>
    <row r="94" spans="1:12">
      <c r="A94" t="s">
        <v>164</v>
      </c>
      <c r="B94" s="13">
        <v>46111</v>
      </c>
      <c r="C94" t="s">
        <v>22</v>
      </c>
      <c r="D94" t="s">
        <v>19</v>
      </c>
      <c r="E94" t="s">
        <v>23</v>
      </c>
      <c r="F94" t="s">
        <v>15</v>
      </c>
      <c r="G94">
        <v>1</v>
      </c>
      <c r="H94">
        <v>8190</v>
      </c>
      <c r="I94">
        <v>0</v>
      </c>
      <c r="J94">
        <v>8190</v>
      </c>
      <c r="K94" t="s">
        <v>111</v>
      </c>
      <c r="L94">
        <f t="shared" si="1"/>
        <v>3</v>
      </c>
    </row>
    <row r="95" spans="1:12">
      <c r="A95" t="s">
        <v>165</v>
      </c>
      <c r="B95" s="13">
        <v>46112</v>
      </c>
      <c r="C95" t="s">
        <v>18</v>
      </c>
      <c r="D95" t="s">
        <v>19</v>
      </c>
      <c r="E95" t="s">
        <v>84</v>
      </c>
      <c r="F95" t="s">
        <v>28</v>
      </c>
      <c r="G95">
        <v>2</v>
      </c>
      <c r="H95">
        <v>50</v>
      </c>
      <c r="I95">
        <v>0.1</v>
      </c>
      <c r="J95">
        <v>90</v>
      </c>
      <c r="K95" t="s">
        <v>60</v>
      </c>
      <c r="L95">
        <f t="shared" si="1"/>
        <v>3</v>
      </c>
    </row>
    <row r="96" spans="1:12">
      <c r="A96" t="s">
        <v>166</v>
      </c>
      <c r="B96" s="13">
        <v>46112</v>
      </c>
      <c r="C96" t="s">
        <v>12</v>
      </c>
      <c r="D96" t="s">
        <v>19</v>
      </c>
      <c r="E96" t="s">
        <v>62</v>
      </c>
      <c r="F96" t="s">
        <v>63</v>
      </c>
      <c r="G96">
        <v>4</v>
      </c>
      <c r="H96">
        <v>150</v>
      </c>
      <c r="I96">
        <v>0.05</v>
      </c>
      <c r="J96">
        <v>570</v>
      </c>
      <c r="K96" t="s">
        <v>100</v>
      </c>
      <c r="L96">
        <f t="shared" si="1"/>
        <v>3</v>
      </c>
    </row>
    <row r="97" spans="1:12">
      <c r="A97" t="s">
        <v>167</v>
      </c>
      <c r="B97" s="13">
        <v>46114</v>
      </c>
      <c r="C97" t="s">
        <v>22</v>
      </c>
      <c r="D97" t="s">
        <v>19</v>
      </c>
      <c r="E97" t="s">
        <v>62</v>
      </c>
      <c r="F97" t="s">
        <v>63</v>
      </c>
      <c r="G97">
        <v>1</v>
      </c>
      <c r="H97">
        <v>190</v>
      </c>
      <c r="I97">
        <v>0</v>
      </c>
      <c r="J97">
        <v>190</v>
      </c>
      <c r="K97" t="s">
        <v>42</v>
      </c>
      <c r="L97">
        <f t="shared" si="1"/>
        <v>4</v>
      </c>
    </row>
    <row r="98" spans="1:12">
      <c r="A98" t="s">
        <v>168</v>
      </c>
      <c r="B98" s="13">
        <v>46114</v>
      </c>
      <c r="C98" t="s">
        <v>12</v>
      </c>
      <c r="D98" t="s">
        <v>19</v>
      </c>
      <c r="E98" t="s">
        <v>14</v>
      </c>
      <c r="F98" t="s">
        <v>15</v>
      </c>
      <c r="G98">
        <v>2</v>
      </c>
      <c r="H98">
        <v>6370</v>
      </c>
      <c r="I98">
        <v>0</v>
      </c>
      <c r="J98">
        <v>12740</v>
      </c>
      <c r="K98" t="s">
        <v>54</v>
      </c>
      <c r="L98">
        <f t="shared" si="1"/>
        <v>4</v>
      </c>
    </row>
    <row r="99" spans="1:12">
      <c r="A99" t="s">
        <v>169</v>
      </c>
      <c r="B99" s="13">
        <v>46115</v>
      </c>
      <c r="C99" t="s">
        <v>31</v>
      </c>
      <c r="D99" t="s">
        <v>19</v>
      </c>
      <c r="E99" t="s">
        <v>14</v>
      </c>
      <c r="F99" t="s">
        <v>15</v>
      </c>
      <c r="G99">
        <v>1</v>
      </c>
      <c r="H99">
        <v>7400</v>
      </c>
      <c r="I99">
        <v>0.05</v>
      </c>
      <c r="J99">
        <v>7030</v>
      </c>
      <c r="K99" t="s">
        <v>75</v>
      </c>
      <c r="L99">
        <f t="shared" si="1"/>
        <v>4</v>
      </c>
    </row>
    <row r="100" spans="1:12">
      <c r="A100" t="s">
        <v>170</v>
      </c>
      <c r="B100" s="13">
        <v>46117</v>
      </c>
      <c r="C100" t="s">
        <v>18</v>
      </c>
      <c r="D100" t="s">
        <v>19</v>
      </c>
      <c r="E100" t="s">
        <v>14</v>
      </c>
      <c r="F100" t="s">
        <v>15</v>
      </c>
      <c r="G100">
        <v>2</v>
      </c>
      <c r="H100">
        <v>4150</v>
      </c>
      <c r="I100">
        <v>0</v>
      </c>
      <c r="J100">
        <v>8300</v>
      </c>
      <c r="K100" t="s">
        <v>128</v>
      </c>
      <c r="L100">
        <f t="shared" si="1"/>
        <v>4</v>
      </c>
    </row>
    <row r="101" spans="1:12">
      <c r="A101" t="s">
        <v>171</v>
      </c>
      <c r="B101" s="13">
        <v>46118</v>
      </c>
      <c r="C101" t="s">
        <v>18</v>
      </c>
      <c r="D101" t="s">
        <v>19</v>
      </c>
      <c r="E101" t="s">
        <v>70</v>
      </c>
      <c r="F101" t="s">
        <v>63</v>
      </c>
      <c r="G101">
        <v>1</v>
      </c>
      <c r="H101">
        <v>1220</v>
      </c>
      <c r="I101">
        <v>0</v>
      </c>
      <c r="J101">
        <v>1220</v>
      </c>
      <c r="K101" t="s">
        <v>136</v>
      </c>
      <c r="L101">
        <f t="shared" si="1"/>
        <v>4</v>
      </c>
    </row>
    <row r="102" spans="1:12">
      <c r="A102" t="s">
        <v>172</v>
      </c>
      <c r="B102" s="13">
        <v>46118</v>
      </c>
      <c r="C102" t="s">
        <v>12</v>
      </c>
      <c r="D102" t="s">
        <v>19</v>
      </c>
      <c r="E102" t="s">
        <v>32</v>
      </c>
      <c r="F102" t="s">
        <v>33</v>
      </c>
      <c r="G102">
        <v>1</v>
      </c>
      <c r="H102">
        <v>39800</v>
      </c>
      <c r="I102">
        <v>0</v>
      </c>
      <c r="J102">
        <v>39800</v>
      </c>
      <c r="K102" t="s">
        <v>85</v>
      </c>
      <c r="L102">
        <f t="shared" si="1"/>
        <v>4</v>
      </c>
    </row>
    <row r="103" spans="1:12">
      <c r="A103" t="s">
        <v>173</v>
      </c>
      <c r="B103" s="13">
        <v>46118</v>
      </c>
      <c r="C103" t="s">
        <v>51</v>
      </c>
      <c r="D103" t="s">
        <v>13</v>
      </c>
      <c r="E103" t="s">
        <v>70</v>
      </c>
      <c r="F103" t="s">
        <v>63</v>
      </c>
      <c r="G103">
        <v>1</v>
      </c>
      <c r="H103">
        <v>1540</v>
      </c>
      <c r="I103">
        <v>0</v>
      </c>
      <c r="J103">
        <v>1540</v>
      </c>
      <c r="K103" t="s">
        <v>72</v>
      </c>
      <c r="L103">
        <f t="shared" si="1"/>
        <v>4</v>
      </c>
    </row>
    <row r="104" spans="1:12">
      <c r="A104" t="s">
        <v>174</v>
      </c>
      <c r="B104" s="13">
        <v>46121</v>
      </c>
      <c r="C104" t="s">
        <v>22</v>
      </c>
      <c r="D104" t="s">
        <v>19</v>
      </c>
      <c r="E104" t="s">
        <v>14</v>
      </c>
      <c r="F104" t="s">
        <v>15</v>
      </c>
      <c r="G104">
        <v>1</v>
      </c>
      <c r="H104">
        <v>6500</v>
      </c>
      <c r="I104">
        <v>0.05</v>
      </c>
      <c r="J104">
        <v>6175</v>
      </c>
      <c r="K104" t="s">
        <v>52</v>
      </c>
      <c r="L104">
        <f t="shared" si="1"/>
        <v>4</v>
      </c>
    </row>
    <row r="105" spans="1:12">
      <c r="A105" t="s">
        <v>175</v>
      </c>
      <c r="B105" s="13">
        <v>46122</v>
      </c>
      <c r="C105" t="s">
        <v>18</v>
      </c>
      <c r="D105" t="s">
        <v>13</v>
      </c>
      <c r="E105" t="s">
        <v>62</v>
      </c>
      <c r="F105" t="s">
        <v>63</v>
      </c>
      <c r="G105">
        <v>1</v>
      </c>
      <c r="H105">
        <v>310</v>
      </c>
      <c r="I105">
        <v>0.15</v>
      </c>
      <c r="J105">
        <v>263.5</v>
      </c>
      <c r="K105" t="s">
        <v>29</v>
      </c>
      <c r="L105">
        <f t="shared" si="1"/>
        <v>4</v>
      </c>
    </row>
    <row r="106" spans="1:12">
      <c r="A106" t="s">
        <v>176</v>
      </c>
      <c r="B106" s="13">
        <v>46123</v>
      </c>
      <c r="C106" t="s">
        <v>22</v>
      </c>
      <c r="D106" t="s">
        <v>19</v>
      </c>
      <c r="E106" t="s">
        <v>27</v>
      </c>
      <c r="F106" t="s">
        <v>28</v>
      </c>
      <c r="G106">
        <v>2</v>
      </c>
      <c r="H106">
        <v>200</v>
      </c>
      <c r="I106">
        <v>0</v>
      </c>
      <c r="J106">
        <v>400</v>
      </c>
      <c r="K106" t="s">
        <v>65</v>
      </c>
      <c r="L106">
        <f t="shared" si="1"/>
        <v>4</v>
      </c>
    </row>
    <row r="107" spans="1:12">
      <c r="A107" t="s">
        <v>177</v>
      </c>
      <c r="B107" s="13">
        <v>46125</v>
      </c>
      <c r="C107" t="s">
        <v>31</v>
      </c>
      <c r="D107" t="s">
        <v>13</v>
      </c>
      <c r="E107" t="s">
        <v>70</v>
      </c>
      <c r="F107" t="s">
        <v>63</v>
      </c>
      <c r="G107">
        <v>2</v>
      </c>
      <c r="H107">
        <v>1290</v>
      </c>
      <c r="I107">
        <v>0</v>
      </c>
      <c r="J107">
        <v>2580</v>
      </c>
      <c r="K107" t="s">
        <v>60</v>
      </c>
      <c r="L107">
        <f t="shared" si="1"/>
        <v>4</v>
      </c>
    </row>
    <row r="108" spans="1:12">
      <c r="A108" t="s">
        <v>178</v>
      </c>
      <c r="B108" s="13">
        <v>46125</v>
      </c>
      <c r="C108" t="s">
        <v>18</v>
      </c>
      <c r="D108" t="s">
        <v>19</v>
      </c>
      <c r="E108" t="s">
        <v>62</v>
      </c>
      <c r="F108" t="s">
        <v>63</v>
      </c>
      <c r="G108">
        <v>1</v>
      </c>
      <c r="H108">
        <v>210</v>
      </c>
      <c r="I108">
        <v>0.15</v>
      </c>
      <c r="J108">
        <v>178.5</v>
      </c>
      <c r="K108" t="s">
        <v>42</v>
      </c>
      <c r="L108">
        <f t="shared" si="1"/>
        <v>4</v>
      </c>
    </row>
    <row r="109" spans="1:12">
      <c r="A109" t="s">
        <v>179</v>
      </c>
      <c r="B109" s="13">
        <v>46125</v>
      </c>
      <c r="C109" t="s">
        <v>12</v>
      </c>
      <c r="D109" t="s">
        <v>19</v>
      </c>
      <c r="E109" t="s">
        <v>70</v>
      </c>
      <c r="F109" t="s">
        <v>63</v>
      </c>
      <c r="G109">
        <v>1</v>
      </c>
      <c r="H109">
        <v>1460</v>
      </c>
      <c r="I109">
        <v>0.05</v>
      </c>
      <c r="J109">
        <v>1387</v>
      </c>
      <c r="K109" t="s">
        <v>52</v>
      </c>
      <c r="L109">
        <f t="shared" si="1"/>
        <v>4</v>
      </c>
    </row>
    <row r="110" spans="1:12">
      <c r="A110" t="s">
        <v>180</v>
      </c>
      <c r="B110" s="13">
        <v>46125</v>
      </c>
      <c r="C110" t="s">
        <v>51</v>
      </c>
      <c r="D110" t="s">
        <v>13</v>
      </c>
      <c r="E110" t="s">
        <v>14</v>
      </c>
      <c r="F110" t="s">
        <v>15</v>
      </c>
      <c r="G110">
        <v>1</v>
      </c>
      <c r="H110">
        <v>5540</v>
      </c>
      <c r="I110">
        <v>0</v>
      </c>
      <c r="J110">
        <v>5540</v>
      </c>
      <c r="K110" t="s">
        <v>87</v>
      </c>
      <c r="L110">
        <f t="shared" si="1"/>
        <v>4</v>
      </c>
    </row>
    <row r="111" spans="1:12">
      <c r="A111" t="s">
        <v>181</v>
      </c>
      <c r="B111" s="13">
        <v>46126</v>
      </c>
      <c r="C111" t="s">
        <v>12</v>
      </c>
      <c r="D111" t="s">
        <v>13</v>
      </c>
      <c r="E111" t="s">
        <v>14</v>
      </c>
      <c r="F111" t="s">
        <v>15</v>
      </c>
      <c r="G111">
        <v>2</v>
      </c>
      <c r="H111">
        <v>5010</v>
      </c>
      <c r="I111">
        <v>0</v>
      </c>
      <c r="J111">
        <v>10020</v>
      </c>
      <c r="K111" t="s">
        <v>38</v>
      </c>
      <c r="L111">
        <f t="shared" si="1"/>
        <v>4</v>
      </c>
    </row>
    <row r="112" spans="1:12">
      <c r="A112" t="s">
        <v>182</v>
      </c>
      <c r="B112" s="13">
        <v>46126</v>
      </c>
      <c r="C112" t="s">
        <v>22</v>
      </c>
      <c r="D112" t="s">
        <v>13</v>
      </c>
      <c r="E112" t="s">
        <v>32</v>
      </c>
      <c r="F112" t="s">
        <v>33</v>
      </c>
      <c r="G112">
        <v>1</v>
      </c>
      <c r="H112">
        <v>40160</v>
      </c>
      <c r="I112">
        <v>0.15</v>
      </c>
      <c r="J112">
        <v>34136</v>
      </c>
      <c r="K112" t="s">
        <v>20</v>
      </c>
      <c r="L112">
        <f t="shared" si="1"/>
        <v>4</v>
      </c>
    </row>
    <row r="113" spans="1:12">
      <c r="A113" t="s">
        <v>183</v>
      </c>
      <c r="B113" s="13">
        <v>46126</v>
      </c>
      <c r="C113" t="s">
        <v>22</v>
      </c>
      <c r="D113" t="s">
        <v>19</v>
      </c>
      <c r="E113" t="s">
        <v>32</v>
      </c>
      <c r="F113" t="s">
        <v>33</v>
      </c>
      <c r="G113">
        <v>2</v>
      </c>
      <c r="H113">
        <v>40980</v>
      </c>
      <c r="I113">
        <v>0.05</v>
      </c>
      <c r="J113">
        <v>77862</v>
      </c>
      <c r="K113" t="s">
        <v>184</v>
      </c>
      <c r="L113">
        <f t="shared" si="1"/>
        <v>4</v>
      </c>
    </row>
    <row r="114" spans="1:12">
      <c r="A114" t="s">
        <v>185</v>
      </c>
      <c r="B114" s="13">
        <v>46128</v>
      </c>
      <c r="C114" t="s">
        <v>12</v>
      </c>
      <c r="D114" t="s">
        <v>19</v>
      </c>
      <c r="E114" t="s">
        <v>23</v>
      </c>
      <c r="F114" t="s">
        <v>15</v>
      </c>
      <c r="G114">
        <v>1</v>
      </c>
      <c r="H114">
        <v>7620</v>
      </c>
      <c r="I114">
        <v>0</v>
      </c>
      <c r="J114">
        <v>7620</v>
      </c>
      <c r="K114" t="s">
        <v>24</v>
      </c>
      <c r="L114">
        <f t="shared" si="1"/>
        <v>4</v>
      </c>
    </row>
    <row r="115" spans="1:12">
      <c r="A115" t="s">
        <v>186</v>
      </c>
      <c r="B115" s="13">
        <v>46129</v>
      </c>
      <c r="C115" t="s">
        <v>18</v>
      </c>
      <c r="D115" t="s">
        <v>13</v>
      </c>
      <c r="E115" t="s">
        <v>70</v>
      </c>
      <c r="F115" t="s">
        <v>63</v>
      </c>
      <c r="G115">
        <v>2</v>
      </c>
      <c r="H115">
        <v>780</v>
      </c>
      <c r="I115">
        <v>0</v>
      </c>
      <c r="J115">
        <v>1560</v>
      </c>
      <c r="K115" t="s">
        <v>54</v>
      </c>
      <c r="L115">
        <f t="shared" si="1"/>
        <v>4</v>
      </c>
    </row>
    <row r="116" spans="1:12">
      <c r="A116" t="s">
        <v>187</v>
      </c>
      <c r="B116" s="13">
        <v>46130</v>
      </c>
      <c r="C116" t="s">
        <v>12</v>
      </c>
      <c r="D116" t="s">
        <v>19</v>
      </c>
      <c r="E116" t="s">
        <v>84</v>
      </c>
      <c r="F116" t="s">
        <v>28</v>
      </c>
      <c r="G116">
        <v>1</v>
      </c>
      <c r="H116">
        <v>80</v>
      </c>
      <c r="I116">
        <v>0.1</v>
      </c>
      <c r="J116">
        <v>72</v>
      </c>
      <c r="K116" t="s">
        <v>90</v>
      </c>
      <c r="L116">
        <f t="shared" si="1"/>
        <v>4</v>
      </c>
    </row>
    <row r="117" spans="1:12">
      <c r="A117" t="s">
        <v>188</v>
      </c>
      <c r="B117" s="13">
        <v>46130</v>
      </c>
      <c r="C117" t="s">
        <v>12</v>
      </c>
      <c r="D117" t="s">
        <v>13</v>
      </c>
      <c r="E117" t="s">
        <v>23</v>
      </c>
      <c r="F117" t="s">
        <v>15</v>
      </c>
      <c r="G117">
        <v>1</v>
      </c>
      <c r="H117">
        <v>4850</v>
      </c>
      <c r="I117">
        <v>0.1</v>
      </c>
      <c r="J117">
        <v>4365</v>
      </c>
      <c r="K117" t="s">
        <v>77</v>
      </c>
      <c r="L117">
        <f t="shared" si="1"/>
        <v>4</v>
      </c>
    </row>
    <row r="118" spans="1:12">
      <c r="A118" t="s">
        <v>189</v>
      </c>
      <c r="B118" s="13">
        <v>46133</v>
      </c>
      <c r="C118" t="s">
        <v>51</v>
      </c>
      <c r="D118" t="s">
        <v>19</v>
      </c>
      <c r="E118" t="s">
        <v>27</v>
      </c>
      <c r="F118" t="s">
        <v>28</v>
      </c>
      <c r="G118">
        <v>1</v>
      </c>
      <c r="H118">
        <v>210</v>
      </c>
      <c r="I118">
        <v>0.1</v>
      </c>
      <c r="J118">
        <v>189</v>
      </c>
      <c r="K118" t="s">
        <v>24</v>
      </c>
      <c r="L118">
        <f t="shared" si="1"/>
        <v>4</v>
      </c>
    </row>
    <row r="119" spans="1:12">
      <c r="A119" t="s">
        <v>190</v>
      </c>
      <c r="B119" s="13">
        <v>46133</v>
      </c>
      <c r="C119" t="s">
        <v>51</v>
      </c>
      <c r="D119" t="s">
        <v>13</v>
      </c>
      <c r="E119" t="s">
        <v>84</v>
      </c>
      <c r="F119" t="s">
        <v>28</v>
      </c>
      <c r="G119">
        <v>1</v>
      </c>
      <c r="H119">
        <v>80</v>
      </c>
      <c r="I119">
        <v>0</v>
      </c>
      <c r="J119">
        <v>80</v>
      </c>
      <c r="K119" t="s">
        <v>117</v>
      </c>
      <c r="L119">
        <f t="shared" si="1"/>
        <v>4</v>
      </c>
    </row>
    <row r="120" spans="1:12">
      <c r="A120" t="s">
        <v>191</v>
      </c>
      <c r="B120" s="13">
        <v>46138</v>
      </c>
      <c r="C120" t="s">
        <v>12</v>
      </c>
      <c r="D120" t="s">
        <v>19</v>
      </c>
      <c r="E120" t="s">
        <v>41</v>
      </c>
      <c r="F120" t="s">
        <v>33</v>
      </c>
      <c r="G120">
        <v>2</v>
      </c>
      <c r="H120">
        <v>900</v>
      </c>
      <c r="I120">
        <v>0</v>
      </c>
      <c r="J120">
        <v>1800</v>
      </c>
      <c r="K120" t="s">
        <v>60</v>
      </c>
      <c r="L120">
        <f t="shared" si="1"/>
        <v>4</v>
      </c>
    </row>
    <row r="121" spans="1:12">
      <c r="A121" t="s">
        <v>192</v>
      </c>
      <c r="B121" s="13">
        <v>46139</v>
      </c>
      <c r="C121" t="s">
        <v>18</v>
      </c>
      <c r="D121" t="s">
        <v>19</v>
      </c>
      <c r="E121" t="s">
        <v>84</v>
      </c>
      <c r="F121" t="s">
        <v>28</v>
      </c>
      <c r="G121">
        <v>2</v>
      </c>
      <c r="H121">
        <v>80</v>
      </c>
      <c r="I121">
        <v>0</v>
      </c>
      <c r="J121">
        <v>160</v>
      </c>
      <c r="K121" t="s">
        <v>36</v>
      </c>
      <c r="L121">
        <f t="shared" si="1"/>
        <v>4</v>
      </c>
    </row>
    <row r="122" spans="1:12">
      <c r="A122" t="s">
        <v>193</v>
      </c>
      <c r="B122" s="13">
        <v>46140</v>
      </c>
      <c r="C122" t="s">
        <v>22</v>
      </c>
      <c r="D122" t="s">
        <v>13</v>
      </c>
      <c r="E122" t="s">
        <v>84</v>
      </c>
      <c r="F122" t="s">
        <v>28</v>
      </c>
      <c r="G122">
        <v>1</v>
      </c>
      <c r="H122">
        <v>80</v>
      </c>
      <c r="I122">
        <v>0</v>
      </c>
      <c r="J122">
        <v>80</v>
      </c>
      <c r="K122" t="s">
        <v>194</v>
      </c>
      <c r="L122">
        <f t="shared" si="1"/>
        <v>4</v>
      </c>
    </row>
    <row r="123" spans="1:12">
      <c r="A123" t="s">
        <v>195</v>
      </c>
      <c r="B123" s="13">
        <v>46143</v>
      </c>
      <c r="C123" t="s">
        <v>18</v>
      </c>
      <c r="D123" t="s">
        <v>19</v>
      </c>
      <c r="E123" t="s">
        <v>32</v>
      </c>
      <c r="F123" t="s">
        <v>33</v>
      </c>
      <c r="G123">
        <v>2</v>
      </c>
      <c r="H123">
        <v>38880</v>
      </c>
      <c r="I123">
        <v>0</v>
      </c>
      <c r="J123">
        <v>77760</v>
      </c>
      <c r="K123" t="s">
        <v>65</v>
      </c>
      <c r="L123">
        <f t="shared" si="1"/>
        <v>5</v>
      </c>
    </row>
    <row r="124" spans="1:12">
      <c r="A124" t="s">
        <v>196</v>
      </c>
      <c r="B124" s="13">
        <v>46143</v>
      </c>
      <c r="C124" t="s">
        <v>22</v>
      </c>
      <c r="D124" t="s">
        <v>19</v>
      </c>
      <c r="E124" t="s">
        <v>14</v>
      </c>
      <c r="F124" t="s">
        <v>15</v>
      </c>
      <c r="G124">
        <v>1</v>
      </c>
      <c r="H124">
        <v>6860</v>
      </c>
      <c r="I124">
        <v>0</v>
      </c>
      <c r="J124">
        <v>6860</v>
      </c>
      <c r="K124" t="s">
        <v>49</v>
      </c>
      <c r="L124">
        <f t="shared" si="1"/>
        <v>5</v>
      </c>
    </row>
    <row r="125" spans="1:12">
      <c r="A125" t="s">
        <v>197</v>
      </c>
      <c r="B125" s="13">
        <v>46144</v>
      </c>
      <c r="C125" t="s">
        <v>22</v>
      </c>
      <c r="D125" t="s">
        <v>19</v>
      </c>
      <c r="E125" t="s">
        <v>32</v>
      </c>
      <c r="F125" t="s">
        <v>33</v>
      </c>
      <c r="G125">
        <v>4</v>
      </c>
      <c r="H125">
        <v>41360</v>
      </c>
      <c r="I125">
        <v>0</v>
      </c>
      <c r="J125">
        <v>165440</v>
      </c>
      <c r="K125" t="s">
        <v>184</v>
      </c>
      <c r="L125">
        <f t="shared" si="1"/>
        <v>5</v>
      </c>
    </row>
    <row r="126" spans="1:12">
      <c r="A126" t="s">
        <v>198</v>
      </c>
      <c r="B126" s="13">
        <v>46145</v>
      </c>
      <c r="C126" t="s">
        <v>22</v>
      </c>
      <c r="D126" t="s">
        <v>19</v>
      </c>
      <c r="E126" t="s">
        <v>84</v>
      </c>
      <c r="F126" t="s">
        <v>28</v>
      </c>
      <c r="G126">
        <v>3</v>
      </c>
      <c r="H126">
        <v>80</v>
      </c>
      <c r="I126">
        <v>0</v>
      </c>
      <c r="J126">
        <v>240</v>
      </c>
      <c r="K126" t="s">
        <v>119</v>
      </c>
      <c r="L126">
        <f t="shared" si="1"/>
        <v>5</v>
      </c>
    </row>
    <row r="127" spans="1:12">
      <c r="A127" t="s">
        <v>199</v>
      </c>
      <c r="B127" s="13">
        <v>46146</v>
      </c>
      <c r="C127" t="s">
        <v>12</v>
      </c>
      <c r="D127" t="s">
        <v>19</v>
      </c>
      <c r="E127" t="s">
        <v>14</v>
      </c>
      <c r="F127" t="s">
        <v>15</v>
      </c>
      <c r="G127">
        <v>4</v>
      </c>
      <c r="H127">
        <v>4040</v>
      </c>
      <c r="I127">
        <v>0.05</v>
      </c>
      <c r="J127">
        <v>15352</v>
      </c>
      <c r="K127" t="s">
        <v>49</v>
      </c>
      <c r="L127">
        <f t="shared" si="1"/>
        <v>5</v>
      </c>
    </row>
    <row r="128" spans="1:12">
      <c r="A128" t="s">
        <v>200</v>
      </c>
      <c r="B128" s="13">
        <v>46146</v>
      </c>
      <c r="C128" t="s">
        <v>18</v>
      </c>
      <c r="D128" t="s">
        <v>19</v>
      </c>
      <c r="E128" t="s">
        <v>84</v>
      </c>
      <c r="F128" t="s">
        <v>28</v>
      </c>
      <c r="G128">
        <v>2</v>
      </c>
      <c r="H128">
        <v>40</v>
      </c>
      <c r="I128">
        <v>0.05</v>
      </c>
      <c r="J128">
        <v>76</v>
      </c>
      <c r="K128" t="s">
        <v>100</v>
      </c>
      <c r="L128">
        <f t="shared" si="1"/>
        <v>5</v>
      </c>
    </row>
    <row r="129" spans="1:12">
      <c r="A129" t="s">
        <v>201</v>
      </c>
      <c r="B129" s="13">
        <v>46150</v>
      </c>
      <c r="C129" t="s">
        <v>31</v>
      </c>
      <c r="D129" t="s">
        <v>19</v>
      </c>
      <c r="E129" t="s">
        <v>14</v>
      </c>
      <c r="F129" t="s">
        <v>15</v>
      </c>
      <c r="G129">
        <v>2</v>
      </c>
      <c r="H129">
        <v>5910</v>
      </c>
      <c r="I129">
        <v>0</v>
      </c>
      <c r="J129">
        <v>11820</v>
      </c>
      <c r="K129" t="s">
        <v>202</v>
      </c>
      <c r="L129">
        <f t="shared" si="1"/>
        <v>5</v>
      </c>
    </row>
    <row r="130" spans="1:12">
      <c r="A130" t="s">
        <v>203</v>
      </c>
      <c r="B130" s="13">
        <v>46151</v>
      </c>
      <c r="C130" t="s">
        <v>22</v>
      </c>
      <c r="D130" t="s">
        <v>13</v>
      </c>
      <c r="E130" t="s">
        <v>41</v>
      </c>
      <c r="F130" t="s">
        <v>33</v>
      </c>
      <c r="G130">
        <v>1</v>
      </c>
      <c r="H130">
        <v>1660</v>
      </c>
      <c r="I130">
        <v>0.15</v>
      </c>
      <c r="J130">
        <v>1411</v>
      </c>
      <c r="K130" t="s">
        <v>204</v>
      </c>
      <c r="L130">
        <f t="shared" ref="L130:L181" si="2">MONTH(B130)</f>
        <v>5</v>
      </c>
    </row>
    <row r="131" spans="1:12">
      <c r="A131" t="s">
        <v>205</v>
      </c>
      <c r="B131" s="13">
        <v>46151</v>
      </c>
      <c r="C131" t="s">
        <v>12</v>
      </c>
      <c r="D131" t="s">
        <v>19</v>
      </c>
      <c r="E131" t="s">
        <v>27</v>
      </c>
      <c r="F131" t="s">
        <v>28</v>
      </c>
      <c r="G131">
        <v>3</v>
      </c>
      <c r="H131">
        <v>180</v>
      </c>
      <c r="I131">
        <v>0</v>
      </c>
      <c r="J131">
        <v>540</v>
      </c>
      <c r="K131" t="s">
        <v>106</v>
      </c>
      <c r="L131">
        <f t="shared" si="2"/>
        <v>5</v>
      </c>
    </row>
    <row r="132" spans="1:12">
      <c r="A132" t="s">
        <v>206</v>
      </c>
      <c r="B132" s="13">
        <v>46152</v>
      </c>
      <c r="C132" t="s">
        <v>51</v>
      </c>
      <c r="D132" t="s">
        <v>19</v>
      </c>
      <c r="E132" t="s">
        <v>62</v>
      </c>
      <c r="F132" t="s">
        <v>63</v>
      </c>
      <c r="G132">
        <v>4</v>
      </c>
      <c r="H132">
        <v>330</v>
      </c>
      <c r="I132">
        <v>0.1</v>
      </c>
      <c r="J132">
        <v>1188</v>
      </c>
      <c r="K132" t="s">
        <v>111</v>
      </c>
      <c r="L132">
        <f t="shared" si="2"/>
        <v>5</v>
      </c>
    </row>
    <row r="133" spans="1:12">
      <c r="A133" t="s">
        <v>207</v>
      </c>
      <c r="B133" s="13">
        <v>46152</v>
      </c>
      <c r="C133" t="s">
        <v>31</v>
      </c>
      <c r="D133" t="s">
        <v>19</v>
      </c>
      <c r="E133" t="s">
        <v>14</v>
      </c>
      <c r="F133" t="s">
        <v>15</v>
      </c>
      <c r="G133">
        <v>2</v>
      </c>
      <c r="H133">
        <v>6910</v>
      </c>
      <c r="I133">
        <v>0.1</v>
      </c>
      <c r="J133">
        <v>12438</v>
      </c>
      <c r="K133" t="s">
        <v>20</v>
      </c>
      <c r="L133">
        <f t="shared" si="2"/>
        <v>5</v>
      </c>
    </row>
    <row r="134" spans="1:12">
      <c r="A134" t="s">
        <v>208</v>
      </c>
      <c r="B134" s="13">
        <v>46153</v>
      </c>
      <c r="C134" t="s">
        <v>31</v>
      </c>
      <c r="D134" t="s">
        <v>19</v>
      </c>
      <c r="E134" t="s">
        <v>84</v>
      </c>
      <c r="F134" t="s">
        <v>28</v>
      </c>
      <c r="G134">
        <v>4</v>
      </c>
      <c r="H134">
        <v>70</v>
      </c>
      <c r="I134">
        <v>0.1</v>
      </c>
      <c r="J134">
        <v>252</v>
      </c>
      <c r="K134" t="s">
        <v>42</v>
      </c>
      <c r="L134">
        <f t="shared" si="2"/>
        <v>5</v>
      </c>
    </row>
    <row r="135" spans="1:12">
      <c r="A135" t="s">
        <v>209</v>
      </c>
      <c r="B135" s="13">
        <v>46153</v>
      </c>
      <c r="C135" t="s">
        <v>51</v>
      </c>
      <c r="D135" t="s">
        <v>19</v>
      </c>
      <c r="E135" t="s">
        <v>62</v>
      </c>
      <c r="F135" t="s">
        <v>63</v>
      </c>
      <c r="G135">
        <v>2</v>
      </c>
      <c r="H135">
        <v>170</v>
      </c>
      <c r="I135">
        <v>0</v>
      </c>
      <c r="J135">
        <v>340</v>
      </c>
      <c r="K135" t="s">
        <v>85</v>
      </c>
      <c r="L135">
        <f t="shared" si="2"/>
        <v>5</v>
      </c>
    </row>
    <row r="136" spans="1:12">
      <c r="A136" t="s">
        <v>210</v>
      </c>
      <c r="B136" s="13">
        <v>46153</v>
      </c>
      <c r="C136" t="s">
        <v>18</v>
      </c>
      <c r="D136" t="s">
        <v>19</v>
      </c>
      <c r="E136" t="s">
        <v>70</v>
      </c>
      <c r="F136" t="s">
        <v>63</v>
      </c>
      <c r="G136">
        <v>1</v>
      </c>
      <c r="H136">
        <v>1560</v>
      </c>
      <c r="I136">
        <v>0.15</v>
      </c>
      <c r="J136">
        <v>1326</v>
      </c>
      <c r="K136" t="s">
        <v>60</v>
      </c>
      <c r="L136">
        <f t="shared" si="2"/>
        <v>5</v>
      </c>
    </row>
    <row r="137" spans="1:12">
      <c r="A137" t="s">
        <v>211</v>
      </c>
      <c r="B137" s="13">
        <v>46154</v>
      </c>
      <c r="C137" t="s">
        <v>51</v>
      </c>
      <c r="D137" t="s">
        <v>19</v>
      </c>
      <c r="E137" t="s">
        <v>27</v>
      </c>
      <c r="F137" t="s">
        <v>28</v>
      </c>
      <c r="G137">
        <v>1</v>
      </c>
      <c r="H137">
        <v>110</v>
      </c>
      <c r="I137">
        <v>0</v>
      </c>
      <c r="J137">
        <v>110</v>
      </c>
      <c r="K137" t="s">
        <v>106</v>
      </c>
      <c r="L137">
        <f t="shared" si="2"/>
        <v>5</v>
      </c>
    </row>
    <row r="138" spans="1:12">
      <c r="A138" t="s">
        <v>212</v>
      </c>
      <c r="B138" s="13">
        <v>46154</v>
      </c>
      <c r="C138" t="s">
        <v>31</v>
      </c>
      <c r="D138" t="s">
        <v>19</v>
      </c>
      <c r="E138" t="s">
        <v>41</v>
      </c>
      <c r="F138" t="s">
        <v>33</v>
      </c>
      <c r="G138">
        <v>1</v>
      </c>
      <c r="H138">
        <v>1920</v>
      </c>
      <c r="I138">
        <v>0</v>
      </c>
      <c r="J138">
        <v>1920</v>
      </c>
      <c r="K138" t="s">
        <v>60</v>
      </c>
      <c r="L138">
        <f t="shared" si="2"/>
        <v>5</v>
      </c>
    </row>
    <row r="139" spans="1:12">
      <c r="A139" t="s">
        <v>213</v>
      </c>
      <c r="B139" s="13">
        <v>46154</v>
      </c>
      <c r="C139" t="s">
        <v>18</v>
      </c>
      <c r="D139" t="s">
        <v>19</v>
      </c>
      <c r="E139" t="s">
        <v>32</v>
      </c>
      <c r="F139" t="s">
        <v>33</v>
      </c>
      <c r="G139">
        <v>4</v>
      </c>
      <c r="H139">
        <v>41750</v>
      </c>
      <c r="I139">
        <v>0</v>
      </c>
      <c r="J139">
        <v>167000</v>
      </c>
      <c r="K139" t="s">
        <v>80</v>
      </c>
      <c r="L139">
        <f t="shared" si="2"/>
        <v>5</v>
      </c>
    </row>
    <row r="140" spans="1:12">
      <c r="A140" t="s">
        <v>214</v>
      </c>
      <c r="B140" s="13">
        <v>46156</v>
      </c>
      <c r="C140" t="s">
        <v>18</v>
      </c>
      <c r="D140" t="s">
        <v>19</v>
      </c>
      <c r="E140" t="s">
        <v>62</v>
      </c>
      <c r="F140" t="s">
        <v>63</v>
      </c>
      <c r="G140">
        <v>1</v>
      </c>
      <c r="H140">
        <v>310</v>
      </c>
      <c r="I140">
        <v>0</v>
      </c>
      <c r="J140">
        <v>310</v>
      </c>
      <c r="K140" t="s">
        <v>204</v>
      </c>
      <c r="L140">
        <f t="shared" si="2"/>
        <v>5</v>
      </c>
    </row>
    <row r="141" spans="1:12">
      <c r="A141" t="s">
        <v>215</v>
      </c>
      <c r="B141" s="13">
        <v>46156</v>
      </c>
      <c r="C141" t="s">
        <v>12</v>
      </c>
      <c r="D141" t="s">
        <v>19</v>
      </c>
      <c r="E141" t="s">
        <v>32</v>
      </c>
      <c r="F141" t="s">
        <v>33</v>
      </c>
      <c r="G141">
        <v>1</v>
      </c>
      <c r="H141">
        <v>34230</v>
      </c>
      <c r="I141">
        <v>0.15</v>
      </c>
      <c r="J141">
        <v>29095.5</v>
      </c>
      <c r="K141" t="s">
        <v>58</v>
      </c>
      <c r="L141">
        <f t="shared" si="2"/>
        <v>5</v>
      </c>
    </row>
    <row r="142" spans="1:12">
      <c r="A142" t="s">
        <v>216</v>
      </c>
      <c r="B142" s="13">
        <v>46157</v>
      </c>
      <c r="C142" t="s">
        <v>22</v>
      </c>
      <c r="D142" t="s">
        <v>13</v>
      </c>
      <c r="E142" t="s">
        <v>23</v>
      </c>
      <c r="F142" t="s">
        <v>15</v>
      </c>
      <c r="G142">
        <v>4</v>
      </c>
      <c r="H142">
        <v>8170</v>
      </c>
      <c r="I142">
        <v>0</v>
      </c>
      <c r="J142">
        <v>32680</v>
      </c>
      <c r="K142" t="s">
        <v>92</v>
      </c>
      <c r="L142">
        <f t="shared" si="2"/>
        <v>5</v>
      </c>
    </row>
    <row r="143" spans="1:12">
      <c r="A143" t="s">
        <v>217</v>
      </c>
      <c r="B143" s="13">
        <v>46157</v>
      </c>
      <c r="C143" t="s">
        <v>51</v>
      </c>
      <c r="D143" t="s">
        <v>19</v>
      </c>
      <c r="E143" t="s">
        <v>70</v>
      </c>
      <c r="F143" t="s">
        <v>63</v>
      </c>
      <c r="G143">
        <v>1</v>
      </c>
      <c r="H143">
        <v>1040</v>
      </c>
      <c r="I143">
        <v>0.15</v>
      </c>
      <c r="J143">
        <v>884</v>
      </c>
      <c r="K143" t="s">
        <v>142</v>
      </c>
      <c r="L143">
        <f t="shared" si="2"/>
        <v>5</v>
      </c>
    </row>
    <row r="144" spans="1:12">
      <c r="A144" t="s">
        <v>218</v>
      </c>
      <c r="B144" s="13">
        <v>46158</v>
      </c>
      <c r="C144" t="s">
        <v>31</v>
      </c>
      <c r="D144" t="s">
        <v>19</v>
      </c>
      <c r="E144" t="s">
        <v>14</v>
      </c>
      <c r="F144" t="s">
        <v>15</v>
      </c>
      <c r="G144">
        <v>1</v>
      </c>
      <c r="H144">
        <v>4460</v>
      </c>
      <c r="I144">
        <v>0</v>
      </c>
      <c r="J144">
        <v>4460</v>
      </c>
      <c r="K144" t="s">
        <v>38</v>
      </c>
      <c r="L144">
        <f t="shared" si="2"/>
        <v>5</v>
      </c>
    </row>
    <row r="145" spans="1:12">
      <c r="A145" t="s">
        <v>219</v>
      </c>
      <c r="B145" s="13">
        <v>46158</v>
      </c>
      <c r="C145" t="s">
        <v>22</v>
      </c>
      <c r="D145" t="s">
        <v>19</v>
      </c>
      <c r="E145" t="s">
        <v>41</v>
      </c>
      <c r="F145" t="s">
        <v>33</v>
      </c>
      <c r="G145">
        <v>2</v>
      </c>
      <c r="H145">
        <v>2180</v>
      </c>
      <c r="I145">
        <v>0</v>
      </c>
      <c r="J145">
        <v>4360</v>
      </c>
      <c r="K145" t="s">
        <v>34</v>
      </c>
      <c r="L145">
        <f t="shared" si="2"/>
        <v>5</v>
      </c>
    </row>
    <row r="146" spans="1:12">
      <c r="A146" t="s">
        <v>220</v>
      </c>
      <c r="B146" s="13">
        <v>46159</v>
      </c>
      <c r="C146" t="s">
        <v>18</v>
      </c>
      <c r="D146" t="s">
        <v>19</v>
      </c>
      <c r="E146" t="s">
        <v>32</v>
      </c>
      <c r="F146" t="s">
        <v>33</v>
      </c>
      <c r="G146">
        <v>2</v>
      </c>
      <c r="H146">
        <v>38690</v>
      </c>
      <c r="I146">
        <v>0</v>
      </c>
      <c r="J146">
        <v>77380</v>
      </c>
      <c r="K146" t="s">
        <v>85</v>
      </c>
      <c r="L146">
        <f t="shared" si="2"/>
        <v>5</v>
      </c>
    </row>
    <row r="147" spans="1:12">
      <c r="A147" t="s">
        <v>221</v>
      </c>
      <c r="B147" s="13">
        <v>46159</v>
      </c>
      <c r="C147" t="s">
        <v>18</v>
      </c>
      <c r="D147" t="s">
        <v>19</v>
      </c>
      <c r="E147" t="s">
        <v>41</v>
      </c>
      <c r="F147" t="s">
        <v>33</v>
      </c>
      <c r="G147">
        <v>2</v>
      </c>
      <c r="H147">
        <v>1120</v>
      </c>
      <c r="I147">
        <v>0</v>
      </c>
      <c r="J147">
        <v>2240</v>
      </c>
      <c r="K147" t="s">
        <v>202</v>
      </c>
      <c r="L147">
        <f t="shared" si="2"/>
        <v>5</v>
      </c>
    </row>
    <row r="148" spans="1:12">
      <c r="A148" t="s">
        <v>222</v>
      </c>
      <c r="B148" s="13">
        <v>46161</v>
      </c>
      <c r="C148" t="s">
        <v>22</v>
      </c>
      <c r="D148" t="s">
        <v>19</v>
      </c>
      <c r="E148" t="s">
        <v>62</v>
      </c>
      <c r="F148" t="s">
        <v>63</v>
      </c>
      <c r="G148">
        <v>1</v>
      </c>
      <c r="H148">
        <v>290</v>
      </c>
      <c r="I148">
        <v>0.15</v>
      </c>
      <c r="J148">
        <v>246.5</v>
      </c>
      <c r="K148" t="s">
        <v>223</v>
      </c>
      <c r="L148">
        <f t="shared" si="2"/>
        <v>5</v>
      </c>
    </row>
    <row r="149" spans="1:12">
      <c r="A149" t="s">
        <v>224</v>
      </c>
      <c r="B149" s="13">
        <v>46164</v>
      </c>
      <c r="C149" t="s">
        <v>51</v>
      </c>
      <c r="D149" t="s">
        <v>13</v>
      </c>
      <c r="E149" t="s">
        <v>84</v>
      </c>
      <c r="F149" t="s">
        <v>28</v>
      </c>
      <c r="G149">
        <v>2</v>
      </c>
      <c r="H149">
        <v>60</v>
      </c>
      <c r="I149">
        <v>0.05</v>
      </c>
      <c r="J149">
        <v>114</v>
      </c>
      <c r="K149" t="s">
        <v>225</v>
      </c>
      <c r="L149">
        <f t="shared" si="2"/>
        <v>5</v>
      </c>
    </row>
    <row r="150" spans="1:12">
      <c r="A150" t="s">
        <v>226</v>
      </c>
      <c r="B150" s="13">
        <v>46165</v>
      </c>
      <c r="C150" t="s">
        <v>31</v>
      </c>
      <c r="D150" t="s">
        <v>13</v>
      </c>
      <c r="E150" t="s">
        <v>70</v>
      </c>
      <c r="F150" t="s">
        <v>63</v>
      </c>
      <c r="G150">
        <v>1</v>
      </c>
      <c r="H150">
        <v>930</v>
      </c>
      <c r="I150">
        <v>0</v>
      </c>
      <c r="J150">
        <v>930</v>
      </c>
      <c r="K150" t="s">
        <v>194</v>
      </c>
      <c r="L150">
        <f t="shared" si="2"/>
        <v>5</v>
      </c>
    </row>
    <row r="151" spans="1:12">
      <c r="A151" t="s">
        <v>227</v>
      </c>
      <c r="B151" s="13">
        <v>46168</v>
      </c>
      <c r="C151" t="s">
        <v>51</v>
      </c>
      <c r="D151" t="s">
        <v>19</v>
      </c>
      <c r="E151" t="s">
        <v>41</v>
      </c>
      <c r="F151" t="s">
        <v>33</v>
      </c>
      <c r="G151">
        <v>2</v>
      </c>
      <c r="H151">
        <v>1930</v>
      </c>
      <c r="I151">
        <v>0</v>
      </c>
      <c r="J151">
        <v>3860</v>
      </c>
      <c r="K151" t="s">
        <v>114</v>
      </c>
      <c r="L151">
        <f t="shared" si="2"/>
        <v>5</v>
      </c>
    </row>
    <row r="152" spans="1:12">
      <c r="A152" t="s">
        <v>228</v>
      </c>
      <c r="B152" s="13">
        <v>46172</v>
      </c>
      <c r="C152" t="s">
        <v>18</v>
      </c>
      <c r="D152" t="s">
        <v>19</v>
      </c>
      <c r="E152" t="s">
        <v>62</v>
      </c>
      <c r="F152" t="s">
        <v>63</v>
      </c>
      <c r="G152">
        <v>2</v>
      </c>
      <c r="H152">
        <v>200</v>
      </c>
      <c r="I152">
        <v>0</v>
      </c>
      <c r="J152">
        <v>400</v>
      </c>
      <c r="K152" t="s">
        <v>36</v>
      </c>
      <c r="L152">
        <f t="shared" si="2"/>
        <v>5</v>
      </c>
    </row>
    <row r="153" spans="1:12">
      <c r="A153" t="s">
        <v>229</v>
      </c>
      <c r="B153" s="13">
        <v>46173</v>
      </c>
      <c r="C153" t="s">
        <v>18</v>
      </c>
      <c r="D153" t="s">
        <v>19</v>
      </c>
      <c r="E153" t="s">
        <v>23</v>
      </c>
      <c r="F153" t="s">
        <v>15</v>
      </c>
      <c r="G153">
        <v>4</v>
      </c>
      <c r="H153">
        <v>8980</v>
      </c>
      <c r="I153">
        <v>0</v>
      </c>
      <c r="J153">
        <v>35920</v>
      </c>
      <c r="K153" t="s">
        <v>72</v>
      </c>
      <c r="L153">
        <f t="shared" si="2"/>
        <v>5</v>
      </c>
    </row>
    <row r="154" spans="1:12">
      <c r="A154" t="s">
        <v>230</v>
      </c>
      <c r="B154" s="13">
        <v>46173</v>
      </c>
      <c r="C154" t="s">
        <v>22</v>
      </c>
      <c r="D154" t="s">
        <v>19</v>
      </c>
      <c r="E154" t="s">
        <v>32</v>
      </c>
      <c r="F154" t="s">
        <v>33</v>
      </c>
      <c r="G154">
        <v>1</v>
      </c>
      <c r="H154">
        <v>33160</v>
      </c>
      <c r="I154">
        <v>0.15</v>
      </c>
      <c r="J154">
        <v>28186</v>
      </c>
      <c r="K154" t="s">
        <v>24</v>
      </c>
      <c r="L154">
        <f t="shared" si="2"/>
        <v>5</v>
      </c>
    </row>
    <row r="155" spans="1:12">
      <c r="A155" t="s">
        <v>231</v>
      </c>
      <c r="B155" s="13">
        <v>46174</v>
      </c>
      <c r="C155" t="s">
        <v>12</v>
      </c>
      <c r="D155" t="s">
        <v>19</v>
      </c>
      <c r="E155" t="s">
        <v>23</v>
      </c>
      <c r="F155" t="s">
        <v>15</v>
      </c>
      <c r="G155">
        <v>2</v>
      </c>
      <c r="H155">
        <v>7470</v>
      </c>
      <c r="I155">
        <v>0.1</v>
      </c>
      <c r="J155">
        <v>13446</v>
      </c>
      <c r="K155" t="s">
        <v>119</v>
      </c>
      <c r="L155">
        <f t="shared" si="2"/>
        <v>6</v>
      </c>
    </row>
    <row r="156" spans="1:12">
      <c r="A156" t="s">
        <v>232</v>
      </c>
      <c r="B156" s="13">
        <v>46174</v>
      </c>
      <c r="C156" t="s">
        <v>12</v>
      </c>
      <c r="D156" t="s">
        <v>19</v>
      </c>
      <c r="E156" t="s">
        <v>14</v>
      </c>
      <c r="F156" t="s">
        <v>15</v>
      </c>
      <c r="G156">
        <v>1</v>
      </c>
      <c r="H156">
        <v>3520</v>
      </c>
      <c r="I156">
        <v>0.15</v>
      </c>
      <c r="J156">
        <v>2992</v>
      </c>
      <c r="K156" t="s">
        <v>233</v>
      </c>
      <c r="L156">
        <f t="shared" si="2"/>
        <v>6</v>
      </c>
    </row>
    <row r="157" spans="1:12">
      <c r="A157" t="s">
        <v>234</v>
      </c>
      <c r="B157" s="13">
        <v>46176</v>
      </c>
      <c r="C157" t="s">
        <v>31</v>
      </c>
      <c r="D157" t="s">
        <v>13</v>
      </c>
      <c r="E157" t="s">
        <v>14</v>
      </c>
      <c r="F157" t="s">
        <v>15</v>
      </c>
      <c r="G157">
        <v>1</v>
      </c>
      <c r="H157">
        <v>5850</v>
      </c>
      <c r="I157">
        <v>0.1</v>
      </c>
      <c r="J157">
        <v>5265</v>
      </c>
      <c r="K157" t="s">
        <v>29</v>
      </c>
      <c r="L157">
        <f t="shared" si="2"/>
        <v>6</v>
      </c>
    </row>
    <row r="158" spans="1:12">
      <c r="A158" t="s">
        <v>235</v>
      </c>
      <c r="B158" s="13">
        <v>46177</v>
      </c>
      <c r="C158" t="s">
        <v>18</v>
      </c>
      <c r="D158" t="s">
        <v>13</v>
      </c>
      <c r="E158" t="s">
        <v>27</v>
      </c>
      <c r="F158" t="s">
        <v>28</v>
      </c>
      <c r="G158">
        <v>3</v>
      </c>
      <c r="H158">
        <v>210</v>
      </c>
      <c r="I158">
        <v>0</v>
      </c>
      <c r="J158">
        <v>630</v>
      </c>
      <c r="K158" t="s">
        <v>236</v>
      </c>
      <c r="L158">
        <f t="shared" si="2"/>
        <v>6</v>
      </c>
    </row>
    <row r="159" spans="1:12">
      <c r="A159" t="s">
        <v>237</v>
      </c>
      <c r="B159" s="13">
        <v>46179</v>
      </c>
      <c r="C159" t="s">
        <v>22</v>
      </c>
      <c r="D159" t="s">
        <v>13</v>
      </c>
      <c r="E159" t="s">
        <v>32</v>
      </c>
      <c r="F159" t="s">
        <v>33</v>
      </c>
      <c r="G159">
        <v>4</v>
      </c>
      <c r="H159">
        <v>35960</v>
      </c>
      <c r="I159">
        <v>0</v>
      </c>
      <c r="J159">
        <v>143840</v>
      </c>
      <c r="K159" t="s">
        <v>194</v>
      </c>
      <c r="L159">
        <f t="shared" si="2"/>
        <v>6</v>
      </c>
    </row>
    <row r="160" spans="1:12">
      <c r="A160" t="s">
        <v>238</v>
      </c>
      <c r="B160" s="13">
        <v>46180</v>
      </c>
      <c r="C160" t="s">
        <v>31</v>
      </c>
      <c r="D160" t="s">
        <v>19</v>
      </c>
      <c r="E160" t="s">
        <v>62</v>
      </c>
      <c r="F160" t="s">
        <v>63</v>
      </c>
      <c r="G160">
        <v>1</v>
      </c>
      <c r="H160">
        <v>340</v>
      </c>
      <c r="I160">
        <v>0.15</v>
      </c>
      <c r="J160">
        <v>289</v>
      </c>
      <c r="K160" t="s">
        <v>56</v>
      </c>
      <c r="L160">
        <f t="shared" si="2"/>
        <v>6</v>
      </c>
    </row>
    <row r="161" spans="1:12">
      <c r="A161" t="s">
        <v>239</v>
      </c>
      <c r="B161" s="13">
        <v>46182</v>
      </c>
      <c r="C161" t="s">
        <v>51</v>
      </c>
      <c r="D161" t="s">
        <v>13</v>
      </c>
      <c r="E161" t="s">
        <v>27</v>
      </c>
      <c r="F161" t="s">
        <v>28</v>
      </c>
      <c r="G161">
        <v>1</v>
      </c>
      <c r="H161">
        <v>130</v>
      </c>
      <c r="I161">
        <v>0.1</v>
      </c>
      <c r="J161">
        <v>117</v>
      </c>
      <c r="K161" t="s">
        <v>136</v>
      </c>
      <c r="L161">
        <f t="shared" si="2"/>
        <v>6</v>
      </c>
    </row>
    <row r="162" spans="1:12">
      <c r="A162" t="s">
        <v>240</v>
      </c>
      <c r="B162" s="13">
        <v>46182</v>
      </c>
      <c r="C162" t="s">
        <v>31</v>
      </c>
      <c r="D162" t="s">
        <v>19</v>
      </c>
      <c r="E162" t="s">
        <v>32</v>
      </c>
      <c r="F162" t="s">
        <v>33</v>
      </c>
      <c r="G162">
        <v>1</v>
      </c>
      <c r="H162">
        <v>34210</v>
      </c>
      <c r="I162">
        <v>0</v>
      </c>
      <c r="J162">
        <v>34210</v>
      </c>
      <c r="K162" t="s">
        <v>128</v>
      </c>
      <c r="L162">
        <f t="shared" si="2"/>
        <v>6</v>
      </c>
    </row>
    <row r="163" spans="1:12">
      <c r="A163" t="s">
        <v>241</v>
      </c>
      <c r="B163" s="13">
        <v>46183</v>
      </c>
      <c r="C163" t="s">
        <v>12</v>
      </c>
      <c r="D163" t="s">
        <v>19</v>
      </c>
      <c r="E163" t="s">
        <v>62</v>
      </c>
      <c r="F163" t="s">
        <v>63</v>
      </c>
      <c r="G163">
        <v>3</v>
      </c>
      <c r="H163">
        <v>140</v>
      </c>
      <c r="I163">
        <v>0.15</v>
      </c>
      <c r="J163">
        <v>357</v>
      </c>
      <c r="K163" t="s">
        <v>104</v>
      </c>
      <c r="L163">
        <f t="shared" si="2"/>
        <v>6</v>
      </c>
    </row>
    <row r="164" spans="1:12">
      <c r="A164" t="s">
        <v>242</v>
      </c>
      <c r="B164" s="13">
        <v>46184</v>
      </c>
      <c r="C164" t="s">
        <v>22</v>
      </c>
      <c r="D164" t="s">
        <v>13</v>
      </c>
      <c r="E164" t="s">
        <v>84</v>
      </c>
      <c r="F164" t="s">
        <v>28</v>
      </c>
      <c r="G164">
        <v>2</v>
      </c>
      <c r="H164">
        <v>40</v>
      </c>
      <c r="I164">
        <v>0.1</v>
      </c>
      <c r="J164">
        <v>72</v>
      </c>
      <c r="K164" t="s">
        <v>145</v>
      </c>
      <c r="L164">
        <f t="shared" si="2"/>
        <v>6</v>
      </c>
    </row>
    <row r="165" spans="1:12">
      <c r="A165" t="s">
        <v>243</v>
      </c>
      <c r="B165" s="13">
        <v>46184</v>
      </c>
      <c r="C165" t="s">
        <v>31</v>
      </c>
      <c r="D165" t="s">
        <v>19</v>
      </c>
      <c r="E165" t="s">
        <v>70</v>
      </c>
      <c r="F165" t="s">
        <v>63</v>
      </c>
      <c r="G165">
        <v>1</v>
      </c>
      <c r="H165">
        <v>1370</v>
      </c>
      <c r="I165">
        <v>0.15</v>
      </c>
      <c r="J165">
        <v>1164.5</v>
      </c>
      <c r="K165" t="s">
        <v>68</v>
      </c>
      <c r="L165">
        <f t="shared" si="2"/>
        <v>6</v>
      </c>
    </row>
    <row r="166" spans="1:12">
      <c r="A166" t="s">
        <v>244</v>
      </c>
      <c r="B166" s="13">
        <v>46185</v>
      </c>
      <c r="C166" t="s">
        <v>18</v>
      </c>
      <c r="D166" t="s">
        <v>19</v>
      </c>
      <c r="E166" t="s">
        <v>23</v>
      </c>
      <c r="F166" t="s">
        <v>15</v>
      </c>
      <c r="G166">
        <v>1</v>
      </c>
      <c r="H166">
        <v>7550</v>
      </c>
      <c r="I166">
        <v>0</v>
      </c>
      <c r="J166">
        <v>7550</v>
      </c>
      <c r="K166" t="s">
        <v>128</v>
      </c>
      <c r="L166">
        <f t="shared" si="2"/>
        <v>6</v>
      </c>
    </row>
    <row r="167" spans="1:12">
      <c r="A167" t="s">
        <v>245</v>
      </c>
      <c r="B167" s="13">
        <v>46185</v>
      </c>
      <c r="C167" t="s">
        <v>51</v>
      </c>
      <c r="D167" t="s">
        <v>19</v>
      </c>
      <c r="E167" t="s">
        <v>32</v>
      </c>
      <c r="F167" t="s">
        <v>33</v>
      </c>
      <c r="G167">
        <v>1</v>
      </c>
      <c r="H167">
        <v>34110</v>
      </c>
      <c r="I167">
        <v>0</v>
      </c>
      <c r="J167">
        <v>34110</v>
      </c>
      <c r="K167" t="s">
        <v>111</v>
      </c>
      <c r="L167">
        <f t="shared" si="2"/>
        <v>6</v>
      </c>
    </row>
    <row r="168" spans="1:12">
      <c r="A168" t="s">
        <v>246</v>
      </c>
      <c r="B168" s="13">
        <v>46186</v>
      </c>
      <c r="C168" t="s">
        <v>31</v>
      </c>
      <c r="D168" t="s">
        <v>19</v>
      </c>
      <c r="E168" t="s">
        <v>84</v>
      </c>
      <c r="F168" t="s">
        <v>28</v>
      </c>
      <c r="G168">
        <v>2</v>
      </c>
      <c r="H168">
        <v>30</v>
      </c>
      <c r="I168">
        <v>0</v>
      </c>
      <c r="J168">
        <v>60</v>
      </c>
      <c r="K168" t="s">
        <v>204</v>
      </c>
      <c r="L168">
        <f t="shared" si="2"/>
        <v>6</v>
      </c>
    </row>
    <row r="169" spans="1:12">
      <c r="A169" t="s">
        <v>247</v>
      </c>
      <c r="B169" s="13">
        <v>46187</v>
      </c>
      <c r="C169" t="s">
        <v>51</v>
      </c>
      <c r="D169" t="s">
        <v>13</v>
      </c>
      <c r="E169" t="s">
        <v>41</v>
      </c>
      <c r="F169" t="s">
        <v>33</v>
      </c>
      <c r="G169">
        <v>1</v>
      </c>
      <c r="H169">
        <v>2410</v>
      </c>
      <c r="I169">
        <v>0</v>
      </c>
      <c r="J169">
        <v>2410</v>
      </c>
      <c r="K169" t="s">
        <v>145</v>
      </c>
      <c r="L169">
        <f t="shared" si="2"/>
        <v>6</v>
      </c>
    </row>
    <row r="170" spans="1:12">
      <c r="A170" t="s">
        <v>248</v>
      </c>
      <c r="B170" s="13">
        <v>46189</v>
      </c>
      <c r="C170" t="s">
        <v>31</v>
      </c>
      <c r="D170" t="s">
        <v>13</v>
      </c>
      <c r="E170" t="s">
        <v>41</v>
      </c>
      <c r="F170" t="s">
        <v>33</v>
      </c>
      <c r="G170">
        <v>1</v>
      </c>
      <c r="H170">
        <v>2390</v>
      </c>
      <c r="I170">
        <v>0</v>
      </c>
      <c r="J170">
        <v>2390</v>
      </c>
      <c r="K170" t="s">
        <v>142</v>
      </c>
      <c r="L170">
        <f t="shared" si="2"/>
        <v>6</v>
      </c>
    </row>
    <row r="171" spans="1:12">
      <c r="A171" t="s">
        <v>249</v>
      </c>
      <c r="B171" s="13">
        <v>46192</v>
      </c>
      <c r="C171" t="s">
        <v>12</v>
      </c>
      <c r="D171" t="s">
        <v>13</v>
      </c>
      <c r="E171" t="s">
        <v>41</v>
      </c>
      <c r="F171" t="s">
        <v>33</v>
      </c>
      <c r="G171">
        <v>1</v>
      </c>
      <c r="H171">
        <v>940</v>
      </c>
      <c r="I171">
        <v>0.05</v>
      </c>
      <c r="J171">
        <v>893</v>
      </c>
      <c r="K171" t="s">
        <v>109</v>
      </c>
      <c r="L171">
        <f t="shared" si="2"/>
        <v>6</v>
      </c>
    </row>
    <row r="172" spans="1:12">
      <c r="A172" t="s">
        <v>250</v>
      </c>
      <c r="B172" s="13">
        <v>46192</v>
      </c>
      <c r="C172" t="s">
        <v>22</v>
      </c>
      <c r="D172" t="s">
        <v>19</v>
      </c>
      <c r="E172" t="s">
        <v>41</v>
      </c>
      <c r="F172" t="s">
        <v>33</v>
      </c>
      <c r="G172">
        <v>1</v>
      </c>
      <c r="H172">
        <v>2200</v>
      </c>
      <c r="I172">
        <v>0.05</v>
      </c>
      <c r="J172">
        <v>2090</v>
      </c>
      <c r="K172" t="s">
        <v>92</v>
      </c>
      <c r="L172">
        <f t="shared" si="2"/>
        <v>6</v>
      </c>
    </row>
    <row r="173" spans="1:12">
      <c r="A173" t="s">
        <v>251</v>
      </c>
      <c r="B173" s="13">
        <v>46193</v>
      </c>
      <c r="C173" t="s">
        <v>22</v>
      </c>
      <c r="D173" t="s">
        <v>19</v>
      </c>
      <c r="E173" t="s">
        <v>27</v>
      </c>
      <c r="F173" t="s">
        <v>28</v>
      </c>
      <c r="G173">
        <v>1</v>
      </c>
      <c r="H173">
        <v>80</v>
      </c>
      <c r="I173">
        <v>0.15</v>
      </c>
      <c r="J173">
        <v>68</v>
      </c>
      <c r="K173" t="s">
        <v>92</v>
      </c>
      <c r="L173">
        <f t="shared" si="2"/>
        <v>6</v>
      </c>
    </row>
    <row r="174" spans="1:12">
      <c r="A174" t="s">
        <v>252</v>
      </c>
      <c r="B174" s="13">
        <v>46194</v>
      </c>
      <c r="C174" t="s">
        <v>22</v>
      </c>
      <c r="D174" t="s">
        <v>13</v>
      </c>
      <c r="E174" t="s">
        <v>41</v>
      </c>
      <c r="F174" t="s">
        <v>33</v>
      </c>
      <c r="G174">
        <v>4</v>
      </c>
      <c r="H174">
        <v>1030</v>
      </c>
      <c r="I174">
        <v>0.1</v>
      </c>
      <c r="J174">
        <v>3708</v>
      </c>
      <c r="K174" t="s">
        <v>85</v>
      </c>
      <c r="L174">
        <f t="shared" si="2"/>
        <v>6</v>
      </c>
    </row>
    <row r="175" spans="1:12">
      <c r="A175" t="s">
        <v>253</v>
      </c>
      <c r="B175" s="13">
        <v>46194</v>
      </c>
      <c r="C175" t="s">
        <v>51</v>
      </c>
      <c r="D175" t="s">
        <v>19</v>
      </c>
      <c r="E175" t="s">
        <v>41</v>
      </c>
      <c r="F175" t="s">
        <v>33</v>
      </c>
      <c r="G175">
        <v>1</v>
      </c>
      <c r="H175">
        <v>2010</v>
      </c>
      <c r="I175">
        <v>0</v>
      </c>
      <c r="J175">
        <v>2010</v>
      </c>
      <c r="K175" t="s">
        <v>24</v>
      </c>
      <c r="L175">
        <f t="shared" si="2"/>
        <v>6</v>
      </c>
    </row>
    <row r="176" spans="1:12">
      <c r="A176" t="s">
        <v>254</v>
      </c>
      <c r="B176" s="13">
        <v>46194</v>
      </c>
      <c r="C176" t="s">
        <v>51</v>
      </c>
      <c r="D176" t="s">
        <v>19</v>
      </c>
      <c r="E176" t="s">
        <v>14</v>
      </c>
      <c r="F176" t="s">
        <v>15</v>
      </c>
      <c r="G176">
        <v>1</v>
      </c>
      <c r="H176">
        <v>6030</v>
      </c>
      <c r="I176">
        <v>0.15</v>
      </c>
      <c r="J176">
        <v>5125.5</v>
      </c>
      <c r="K176" t="s">
        <v>104</v>
      </c>
      <c r="L176">
        <f t="shared" si="2"/>
        <v>6</v>
      </c>
    </row>
    <row r="177" spans="1:12">
      <c r="A177" t="s">
        <v>255</v>
      </c>
      <c r="B177" s="13">
        <v>46197</v>
      </c>
      <c r="C177" t="s">
        <v>31</v>
      </c>
      <c r="D177" t="s">
        <v>19</v>
      </c>
      <c r="E177" t="s">
        <v>70</v>
      </c>
      <c r="F177" t="s">
        <v>63</v>
      </c>
      <c r="G177">
        <v>1</v>
      </c>
      <c r="H177">
        <v>1060</v>
      </c>
      <c r="I177">
        <v>0.05</v>
      </c>
      <c r="J177">
        <v>1007</v>
      </c>
      <c r="K177" t="s">
        <v>72</v>
      </c>
      <c r="L177">
        <f t="shared" si="2"/>
        <v>6</v>
      </c>
    </row>
    <row r="178" spans="1:12">
      <c r="A178" t="s">
        <v>256</v>
      </c>
      <c r="B178" s="13">
        <v>46197</v>
      </c>
      <c r="C178" t="s">
        <v>22</v>
      </c>
      <c r="D178" t="s">
        <v>13</v>
      </c>
      <c r="E178" t="s">
        <v>70</v>
      </c>
      <c r="F178" t="s">
        <v>63</v>
      </c>
      <c r="G178">
        <v>2</v>
      </c>
      <c r="H178">
        <v>1620</v>
      </c>
      <c r="I178">
        <v>0.05</v>
      </c>
      <c r="J178">
        <v>3078</v>
      </c>
      <c r="K178" t="s">
        <v>142</v>
      </c>
      <c r="L178">
        <f t="shared" si="2"/>
        <v>6</v>
      </c>
    </row>
    <row r="179" spans="1:12">
      <c r="A179" t="s">
        <v>257</v>
      </c>
      <c r="B179" s="13">
        <v>46197</v>
      </c>
      <c r="C179" t="s">
        <v>31</v>
      </c>
      <c r="D179" t="s">
        <v>19</v>
      </c>
      <c r="E179" t="s">
        <v>27</v>
      </c>
      <c r="F179" t="s">
        <v>28</v>
      </c>
      <c r="G179">
        <v>4</v>
      </c>
      <c r="H179">
        <v>80</v>
      </c>
      <c r="I179">
        <v>0</v>
      </c>
      <c r="J179">
        <v>320</v>
      </c>
      <c r="K179" t="s">
        <v>145</v>
      </c>
      <c r="L179">
        <f t="shared" si="2"/>
        <v>6</v>
      </c>
    </row>
    <row r="180" spans="1:12">
      <c r="A180" t="s">
        <v>258</v>
      </c>
      <c r="B180" s="13">
        <v>46201</v>
      </c>
      <c r="C180" t="s">
        <v>31</v>
      </c>
      <c r="D180" t="s">
        <v>19</v>
      </c>
      <c r="E180" t="s">
        <v>62</v>
      </c>
      <c r="F180" t="s">
        <v>63</v>
      </c>
      <c r="G180">
        <v>4</v>
      </c>
      <c r="H180">
        <v>210</v>
      </c>
      <c r="I180">
        <v>0</v>
      </c>
      <c r="J180">
        <v>840</v>
      </c>
      <c r="K180" t="s">
        <v>236</v>
      </c>
      <c r="L180">
        <f t="shared" si="2"/>
        <v>6</v>
      </c>
    </row>
    <row r="181" spans="1:12">
      <c r="A181" t="s">
        <v>259</v>
      </c>
      <c r="B181" s="13">
        <v>46202</v>
      </c>
      <c r="C181" t="s">
        <v>31</v>
      </c>
      <c r="D181" t="s">
        <v>19</v>
      </c>
      <c r="E181" t="s">
        <v>27</v>
      </c>
      <c r="F181" t="s">
        <v>28</v>
      </c>
      <c r="G181">
        <v>4</v>
      </c>
      <c r="H181">
        <v>140</v>
      </c>
      <c r="I181">
        <v>0</v>
      </c>
      <c r="J181">
        <v>560</v>
      </c>
      <c r="K181" t="s">
        <v>204</v>
      </c>
      <c r="L181">
        <f t="shared" si="2"/>
        <v>6</v>
      </c>
    </row>
  </sheetData>
  <conditionalFormatting sqref="A1:A181">
    <cfRule type="duplicateValues" dxfId="0" priority="2"/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A11"/>
  <sheetViews>
    <sheetView workbookViewId="0">
      <selection activeCell="J1" sqref="J$1:L$1048576"/>
    </sheetView>
  </sheetViews>
  <sheetFormatPr defaultColWidth="7.27272727272727" defaultRowHeight="15"/>
  <cols>
    <col min="1" max="1" width="9.54545454545454"/>
    <col min="2" max="182" width="9.09090909090909"/>
    <col min="183" max="183" width="9.36363636363636"/>
  </cols>
  <sheetData>
    <row r="3" spans="1:183">
      <c r="B3" t="s">
        <v>0</v>
      </c>
    </row>
    <row r="4" spans="1:183">
      <c r="A4" t="s">
        <v>2</v>
      </c>
      <c r="B4" t="s">
        <v>178</v>
      </c>
      <c r="C4" t="s">
        <v>259</v>
      </c>
      <c r="D4" t="s">
        <v>169</v>
      </c>
      <c r="E4" t="s">
        <v>57</v>
      </c>
      <c r="F4" t="s">
        <v>186</v>
      </c>
      <c r="G4" t="s">
        <v>149</v>
      </c>
      <c r="H4" t="s">
        <v>67</v>
      </c>
      <c r="I4" t="s">
        <v>180</v>
      </c>
      <c r="J4" t="s">
        <v>197</v>
      </c>
      <c r="K4" t="s">
        <v>152</v>
      </c>
      <c r="L4" t="s">
        <v>161</v>
      </c>
      <c r="M4" t="s">
        <v>192</v>
      </c>
      <c r="N4" t="s">
        <v>175</v>
      </c>
      <c r="O4" t="s">
        <v>183</v>
      </c>
      <c r="P4" t="s">
        <v>232</v>
      </c>
      <c r="Q4" t="s">
        <v>209</v>
      </c>
      <c r="R4" t="s">
        <v>228</v>
      </c>
      <c r="S4" t="s">
        <v>124</v>
      </c>
      <c r="T4" t="s">
        <v>17</v>
      </c>
      <c r="U4" t="s">
        <v>159</v>
      </c>
      <c r="V4" t="s">
        <v>238</v>
      </c>
      <c r="W4" t="s">
        <v>96</v>
      </c>
      <c r="X4" t="s">
        <v>207</v>
      </c>
      <c r="Y4" t="s">
        <v>64</v>
      </c>
      <c r="Z4" t="s">
        <v>241</v>
      </c>
      <c r="AA4" t="s">
        <v>129</v>
      </c>
      <c r="AB4" t="s">
        <v>69</v>
      </c>
      <c r="AC4" t="s">
        <v>163</v>
      </c>
      <c r="AD4" t="s">
        <v>113</v>
      </c>
      <c r="AE4" t="s">
        <v>130</v>
      </c>
      <c r="AF4" t="s">
        <v>249</v>
      </c>
      <c r="AG4" t="s">
        <v>50</v>
      </c>
      <c r="AH4" t="s">
        <v>256</v>
      </c>
      <c r="AI4" t="s">
        <v>116</v>
      </c>
      <c r="AJ4" t="s">
        <v>188</v>
      </c>
      <c r="AK4" t="s">
        <v>127</v>
      </c>
      <c r="AL4" t="s">
        <v>141</v>
      </c>
      <c r="AM4" t="s">
        <v>208</v>
      </c>
      <c r="AN4" t="s">
        <v>120</v>
      </c>
      <c r="AO4" t="s">
        <v>217</v>
      </c>
      <c r="AP4" t="s">
        <v>66</v>
      </c>
      <c r="AQ4" t="s">
        <v>150</v>
      </c>
      <c r="AR4" t="s">
        <v>248</v>
      </c>
      <c r="AS4" t="s">
        <v>61</v>
      </c>
      <c r="AT4" t="s">
        <v>212</v>
      </c>
      <c r="AU4" t="s">
        <v>164</v>
      </c>
      <c r="AV4" t="s">
        <v>132</v>
      </c>
      <c r="AW4" t="s">
        <v>48</v>
      </c>
      <c r="AX4" t="s">
        <v>39</v>
      </c>
      <c r="AY4" t="s">
        <v>165</v>
      </c>
      <c r="AZ4" t="s">
        <v>123</v>
      </c>
      <c r="BA4" t="s">
        <v>206</v>
      </c>
      <c r="BB4" t="s">
        <v>157</v>
      </c>
      <c r="BC4" t="s">
        <v>167</v>
      </c>
      <c r="BD4" t="s">
        <v>190</v>
      </c>
      <c r="BE4" t="s">
        <v>252</v>
      </c>
      <c r="BF4" t="s">
        <v>37</v>
      </c>
      <c r="BG4" t="s">
        <v>257</v>
      </c>
      <c r="BH4" t="s">
        <v>89</v>
      </c>
      <c r="BI4" t="s">
        <v>153</v>
      </c>
      <c r="BJ4" t="s">
        <v>246</v>
      </c>
      <c r="BK4" t="s">
        <v>115</v>
      </c>
      <c r="BL4" t="s">
        <v>181</v>
      </c>
      <c r="BM4" t="s">
        <v>211</v>
      </c>
      <c r="BN4" t="s">
        <v>21</v>
      </c>
      <c r="BO4" t="s">
        <v>215</v>
      </c>
      <c r="BP4" t="s">
        <v>126</v>
      </c>
      <c r="BQ4" t="s">
        <v>185</v>
      </c>
      <c r="BR4" t="s">
        <v>26</v>
      </c>
      <c r="BS4" t="s">
        <v>125</v>
      </c>
      <c r="BT4" t="s">
        <v>227</v>
      </c>
      <c r="BU4" t="s">
        <v>105</v>
      </c>
      <c r="BV4" t="s">
        <v>242</v>
      </c>
      <c r="BW4" t="s">
        <v>46</v>
      </c>
      <c r="BX4" t="s">
        <v>170</v>
      </c>
      <c r="BY4" t="s">
        <v>110</v>
      </c>
      <c r="BZ4" t="s">
        <v>55</v>
      </c>
      <c r="CA4" t="s">
        <v>98</v>
      </c>
      <c r="CB4" t="s">
        <v>155</v>
      </c>
      <c r="CC4" t="s">
        <v>189</v>
      </c>
      <c r="CD4" t="s">
        <v>122</v>
      </c>
      <c r="CE4" t="s">
        <v>71</v>
      </c>
      <c r="CF4" t="s">
        <v>234</v>
      </c>
      <c r="CG4" t="s">
        <v>199</v>
      </c>
      <c r="CH4" t="s">
        <v>101</v>
      </c>
      <c r="CI4" t="s">
        <v>237</v>
      </c>
      <c r="CJ4" t="s">
        <v>53</v>
      </c>
      <c r="CK4" t="s">
        <v>108</v>
      </c>
      <c r="CL4" t="s">
        <v>143</v>
      </c>
      <c r="CM4" t="s">
        <v>162</v>
      </c>
      <c r="CN4" t="s">
        <v>147</v>
      </c>
      <c r="CO4" t="s">
        <v>40</v>
      </c>
      <c r="CP4" t="s">
        <v>160</v>
      </c>
      <c r="CQ4" t="s">
        <v>203</v>
      </c>
      <c r="CR4" t="s">
        <v>219</v>
      </c>
      <c r="CS4" t="s">
        <v>139</v>
      </c>
      <c r="CT4" t="s">
        <v>222</v>
      </c>
      <c r="CU4" t="s">
        <v>154</v>
      </c>
      <c r="CV4" t="s">
        <v>218</v>
      </c>
      <c r="CW4" t="s">
        <v>245</v>
      </c>
      <c r="CX4" t="s">
        <v>244</v>
      </c>
      <c r="CY4" t="s">
        <v>86</v>
      </c>
      <c r="CZ4" t="s">
        <v>198</v>
      </c>
      <c r="DA4" t="s">
        <v>35</v>
      </c>
      <c r="DB4" t="s">
        <v>99</v>
      </c>
      <c r="DC4" t="s">
        <v>78</v>
      </c>
      <c r="DD4" t="s">
        <v>216</v>
      </c>
      <c r="DE4" t="s">
        <v>148</v>
      </c>
      <c r="DF4" t="s">
        <v>43</v>
      </c>
      <c r="DG4" t="s">
        <v>243</v>
      </c>
      <c r="DH4" t="s">
        <v>88</v>
      </c>
      <c r="DI4" t="s">
        <v>112</v>
      </c>
      <c r="DJ4" t="s">
        <v>230</v>
      </c>
      <c r="DK4" t="s">
        <v>133</v>
      </c>
      <c r="DL4" t="s">
        <v>95</v>
      </c>
      <c r="DM4" t="s">
        <v>174</v>
      </c>
      <c r="DN4" t="s">
        <v>254</v>
      </c>
      <c r="DO4" t="s">
        <v>182</v>
      </c>
      <c r="DP4" t="s">
        <v>91</v>
      </c>
      <c r="DQ4" t="s">
        <v>176</v>
      </c>
      <c r="DR4" t="s">
        <v>255</v>
      </c>
      <c r="DS4" t="s">
        <v>210</v>
      </c>
      <c r="DT4" t="s">
        <v>11</v>
      </c>
      <c r="DU4" t="s">
        <v>30</v>
      </c>
      <c r="DV4" t="s">
        <v>224</v>
      </c>
      <c r="DW4" t="s">
        <v>179</v>
      </c>
      <c r="DX4" t="s">
        <v>73</v>
      </c>
      <c r="DY4" t="s">
        <v>221</v>
      </c>
      <c r="DZ4" t="s">
        <v>59</v>
      </c>
      <c r="EA4" t="s">
        <v>166</v>
      </c>
      <c r="EB4" t="s">
        <v>102</v>
      </c>
      <c r="EC4" t="s">
        <v>200</v>
      </c>
      <c r="ED4" t="s">
        <v>258</v>
      </c>
      <c r="EE4" t="s">
        <v>138</v>
      </c>
      <c r="EF4" t="s">
        <v>171</v>
      </c>
      <c r="EG4" t="s">
        <v>121</v>
      </c>
      <c r="EH4" t="s">
        <v>172</v>
      </c>
      <c r="EI4" t="s">
        <v>213</v>
      </c>
      <c r="EJ4" t="s">
        <v>229</v>
      </c>
      <c r="EK4" t="s">
        <v>226</v>
      </c>
      <c r="EL4" t="s">
        <v>251</v>
      </c>
      <c r="EM4" t="s">
        <v>82</v>
      </c>
      <c r="EN4" t="s">
        <v>93</v>
      </c>
      <c r="EO4" t="s">
        <v>44</v>
      </c>
      <c r="EP4" t="s">
        <v>240</v>
      </c>
      <c r="EQ4" t="s">
        <v>146</v>
      </c>
      <c r="ER4" t="s">
        <v>158</v>
      </c>
      <c r="ES4" t="s">
        <v>81</v>
      </c>
      <c r="ET4" t="s">
        <v>144</v>
      </c>
      <c r="EU4" t="s">
        <v>250</v>
      </c>
      <c r="EV4" t="s">
        <v>107</v>
      </c>
      <c r="EW4" t="s">
        <v>135</v>
      </c>
      <c r="EX4" t="s">
        <v>214</v>
      </c>
      <c r="EY4" t="s">
        <v>79</v>
      </c>
      <c r="EZ4" t="s">
        <v>76</v>
      </c>
      <c r="FA4" t="s">
        <v>187</v>
      </c>
      <c r="FB4" t="s">
        <v>103</v>
      </c>
      <c r="FC4" t="s">
        <v>156</v>
      </c>
      <c r="FD4" t="s">
        <v>83</v>
      </c>
      <c r="FE4" t="s">
        <v>151</v>
      </c>
      <c r="FF4" t="s">
        <v>201</v>
      </c>
      <c r="FG4" t="s">
        <v>168</v>
      </c>
      <c r="FH4" t="s">
        <v>205</v>
      </c>
      <c r="FI4" t="s">
        <v>196</v>
      </c>
      <c r="FJ4" t="s">
        <v>74</v>
      </c>
      <c r="FK4" t="s">
        <v>195</v>
      </c>
      <c r="FL4" t="s">
        <v>191</v>
      </c>
      <c r="FM4" t="s">
        <v>25</v>
      </c>
      <c r="FN4" t="s">
        <v>177</v>
      </c>
      <c r="FO4" t="s">
        <v>235</v>
      </c>
      <c r="FP4" t="s">
        <v>220</v>
      </c>
      <c r="FQ4" t="s">
        <v>137</v>
      </c>
      <c r="FR4" t="s">
        <v>247</v>
      </c>
      <c r="FS4" t="s">
        <v>118</v>
      </c>
      <c r="FT4" t="s">
        <v>253</v>
      </c>
      <c r="FU4" t="s">
        <v>231</v>
      </c>
      <c r="FV4" t="s">
        <v>131</v>
      </c>
      <c r="FW4" t="s">
        <v>193</v>
      </c>
      <c r="FX4" t="s">
        <v>239</v>
      </c>
      <c r="FY4" t="s">
        <v>173</v>
      </c>
      <c r="FZ4" t="s">
        <v>261</v>
      </c>
      <c r="GA4" t="s">
        <v>262</v>
      </c>
    </row>
    <row r="5" spans="1:183">
      <c r="A5" t="s">
        <v>22</v>
      </c>
    </row>
    <row r="6" spans="1:183">
      <c r="A6" t="s">
        <v>31</v>
      </c>
    </row>
    <row r="7" spans="1:183">
      <c r="A7" t="s">
        <v>18</v>
      </c>
    </row>
    <row r="8" spans="1:183">
      <c r="A8" t="s">
        <v>12</v>
      </c>
    </row>
    <row r="9" spans="1:183">
      <c r="A9" t="s">
        <v>51</v>
      </c>
    </row>
    <row r="10" spans="1:183">
      <c r="A10" t="s">
        <v>261</v>
      </c>
    </row>
    <row r="11" spans="1:183">
      <c r="A11" t="s">
        <v>262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showGridLines="0" workbookViewId="0">
      <selection activeCell="D15" sqref="D15"/>
    </sheetView>
  </sheetViews>
  <sheetFormatPr defaultColWidth="7.27272727272727" defaultRowHeight="15" outlineLevelRow="1" outlineLevelCol="3"/>
  <cols>
    <col min="1" max="1" width="16.7272727272727" customWidth="1"/>
    <col min="2" max="2" width="18.6363636363636" customWidth="1"/>
    <col min="3" max="3" width="27.3636363636364" customWidth="1"/>
    <col min="4" max="4" width="29.8181818181818" customWidth="1"/>
  </cols>
  <sheetData>
    <row r="1" ht="27.6" spans="1:4">
      <c r="A1" s="8" t="s">
        <v>263</v>
      </c>
      <c r="B1" s="9" t="s">
        <v>264</v>
      </c>
      <c r="C1" s="9" t="s">
        <v>265</v>
      </c>
      <c r="D1" s="10" t="s">
        <v>266</v>
      </c>
    </row>
    <row r="2" ht="27.6" spans="1:4">
      <c r="A2" s="11">
        <f>SUM(Sales_Data!J:J)</f>
        <v>2014393.5</v>
      </c>
      <c r="B2" s="11">
        <f>COUNTA(Sales_Data!A:A)-1</f>
        <v>180</v>
      </c>
      <c r="C2" s="11">
        <f>SUM(Sales_Data!G:G)</f>
        <v>339</v>
      </c>
      <c r="D2" s="11">
        <f>SUM(Sales_Data!J:J)/(COUNTA(Sales_Data!A:A)-1)</f>
        <v>11191.075</v>
      </c>
    </row>
  </sheetData>
  <conditionalFormatting sqref="A1:D1">
    <cfRule type="colorScale" priority="8">
      <colorScale>
        <cfvo type="min"/>
        <cfvo type="max"/>
        <color rgb="FFF8696B"/>
        <color rgb="FFFCFCFF"/>
      </colorScale>
    </cfRule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{7589aa10-0242-4576-8763-0afc1f7d4652}</x14:id>
        </ext>
      </extLst>
    </cfRule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">
    <cfRule type="colorScale" priority="3">
      <colorScale>
        <cfvo type="min"/>
        <cfvo type="max"/>
        <color rgb="FF63BE7B"/>
        <color rgb="FFFFEF9C"/>
      </colorScale>
    </cfRule>
  </conditionalFormatting>
  <conditionalFormatting sqref="D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1:D2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5" right="0.75" top="1" bottom="1" header="0.5" footer="0.5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89aa10-0242-4576-8763-0afc1f7d46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129"/>
  <sheetViews>
    <sheetView showGridLines="0" zoomScale="80" zoomScaleNormal="80" workbookViewId="0">
      <selection activeCell="N34" sqref="N34"/>
    </sheetView>
  </sheetViews>
  <sheetFormatPr defaultColWidth="7.27272727272727" defaultRowHeight="15" outlineLevelCol="6"/>
  <cols>
    <col min="1" max="1" width="12.2727272727273"/>
    <col min="2" max="2" width="28.1818181818182" customWidth="1"/>
    <col min="3" max="7" width="10.3636363636364"/>
    <col min="8" max="8" width="14.3636363636364"/>
    <col min="11" max="11" width="8.72727272727273"/>
    <col min="14" max="14" width="8.72727272727273"/>
    <col min="18" max="18" width="9.54545454545454"/>
    <col min="19" max="19" width="14.3636363636364"/>
    <col min="22" max="22" width="8.72727272727273"/>
    <col min="23" max="23" width="10.2727272727273"/>
    <col min="24" max="24" width="14.3636363636364"/>
    <col min="30" max="30" width="9.54545454545454"/>
    <col min="31" max="31" width="14.3636363636364"/>
  </cols>
  <sheetData>
    <row r="3" ht="24" spans="1:2">
      <c r="A3" s="5" t="s">
        <v>267</v>
      </c>
    </row>
    <row r="4" spans="1:2">
      <c r="A4" t="s">
        <v>260</v>
      </c>
      <c r="B4" t="s">
        <v>268</v>
      </c>
    </row>
    <row r="5" spans="1:2">
      <c r="A5">
        <v>1</v>
      </c>
      <c r="B5">
        <v>425484</v>
      </c>
    </row>
    <row r="6" spans="1:2">
      <c r="A6">
        <v>2</v>
      </c>
      <c r="B6">
        <v>208581</v>
      </c>
    </row>
    <row r="7" spans="1:2">
      <c r="A7">
        <v>3</v>
      </c>
      <c r="B7">
        <v>201299.5</v>
      </c>
    </row>
    <row r="8" spans="1:2">
      <c r="A8">
        <v>4</v>
      </c>
      <c r="B8">
        <v>225288</v>
      </c>
    </row>
    <row r="9" spans="1:2">
      <c r="A9">
        <v>5</v>
      </c>
      <c r="B9">
        <v>685139</v>
      </c>
    </row>
    <row r="10" spans="1:2">
      <c r="A10">
        <v>6</v>
      </c>
      <c r="B10">
        <v>268602</v>
      </c>
    </row>
    <row r="11" spans="1:2">
      <c r="A11" t="s">
        <v>261</v>
      </c>
    </row>
    <row r="12" spans="1:2">
      <c r="A12" t="s">
        <v>262</v>
      </c>
      <c r="B12">
        <v>2014393.5</v>
      </c>
    </row>
    <row r="16" ht="24" spans="1:2">
      <c r="A16" s="5" t="s">
        <v>269</v>
      </c>
    </row>
    <row r="17" spans="1:2">
      <c r="A17" t="s">
        <v>2</v>
      </c>
      <c r="B17" t="s">
        <v>268</v>
      </c>
    </row>
    <row r="18" spans="1:2">
      <c r="A18" t="s">
        <v>22</v>
      </c>
      <c r="B18">
        <v>633405</v>
      </c>
    </row>
    <row r="19" spans="1:2">
      <c r="A19" t="s">
        <v>31</v>
      </c>
      <c r="B19">
        <v>337098.5</v>
      </c>
    </row>
    <row r="20" spans="1:2">
      <c r="A20" t="s">
        <v>18</v>
      </c>
      <c r="B20">
        <v>482916.5</v>
      </c>
    </row>
    <row r="21" spans="1:2">
      <c r="A21" t="s">
        <v>12</v>
      </c>
      <c r="B21">
        <v>330402.5</v>
      </c>
    </row>
    <row r="22" spans="1:2">
      <c r="A22" t="s">
        <v>51</v>
      </c>
      <c r="B22">
        <v>230571</v>
      </c>
    </row>
    <row r="23" spans="1:2">
      <c r="A23" t="s">
        <v>261</v>
      </c>
    </row>
    <row r="24" spans="1:2">
      <c r="A24" t="s">
        <v>262</v>
      </c>
      <c r="B24">
        <v>2014393.5</v>
      </c>
    </row>
    <row r="28" ht="24" spans="1:2">
      <c r="A28" s="5" t="s">
        <v>270</v>
      </c>
    </row>
    <row r="29" spans="1:2">
      <c r="A29" t="s">
        <v>5</v>
      </c>
      <c r="B29" t="s">
        <v>268</v>
      </c>
    </row>
    <row r="30" spans="1:2">
      <c r="A30" t="s">
        <v>63</v>
      </c>
      <c r="B30">
        <v>61073</v>
      </c>
    </row>
    <row r="31" spans="1:2">
      <c r="A31" t="s">
        <v>33</v>
      </c>
      <c r="B31">
        <v>1390006.5</v>
      </c>
    </row>
    <row r="32" spans="1:2">
      <c r="A32" t="s">
        <v>15</v>
      </c>
      <c r="B32">
        <v>555099.5</v>
      </c>
    </row>
    <row r="33" spans="1:2">
      <c r="A33" t="s">
        <v>28</v>
      </c>
      <c r="B33">
        <v>8214.5</v>
      </c>
    </row>
    <row r="34" spans="1:2">
      <c r="A34" t="s">
        <v>261</v>
      </c>
    </row>
    <row r="35" spans="1:2">
      <c r="A35" t="s">
        <v>262</v>
      </c>
      <c r="B35">
        <v>2014393.5</v>
      </c>
    </row>
    <row r="39" ht="24" spans="1:2">
      <c r="A39" s="5" t="s">
        <v>271</v>
      </c>
    </row>
    <row r="40" spans="1:2">
      <c r="A40" t="s">
        <v>4</v>
      </c>
      <c r="B40" t="s">
        <v>268</v>
      </c>
    </row>
    <row r="41" spans="1:2">
      <c r="A41" t="s">
        <v>32</v>
      </c>
      <c r="B41">
        <v>1311953</v>
      </c>
    </row>
    <row r="42" spans="1:2">
      <c r="A42" t="s">
        <v>23</v>
      </c>
      <c r="B42">
        <v>305380.5</v>
      </c>
    </row>
    <row r="43" spans="1:2">
      <c r="A43" t="s">
        <v>14</v>
      </c>
      <c r="B43">
        <v>249719</v>
      </c>
    </row>
    <row r="44" spans="1:2">
      <c r="A44" t="s">
        <v>41</v>
      </c>
      <c r="B44">
        <v>78053.5</v>
      </c>
    </row>
    <row r="45" spans="1:2">
      <c r="A45" t="s">
        <v>70</v>
      </c>
      <c r="B45">
        <v>53051.5</v>
      </c>
    </row>
    <row r="46" spans="1:2">
      <c r="A46" t="s">
        <v>62</v>
      </c>
      <c r="B46">
        <v>8021.5</v>
      </c>
    </row>
    <row r="47" spans="1:2">
      <c r="A47" t="s">
        <v>27</v>
      </c>
      <c r="B47">
        <v>5505.5</v>
      </c>
    </row>
    <row r="48" spans="1:2">
      <c r="A48" t="s">
        <v>84</v>
      </c>
      <c r="B48">
        <v>2709</v>
      </c>
    </row>
    <row r="49" spans="1:2">
      <c r="A49" t="s">
        <v>261</v>
      </c>
    </row>
    <row r="50" spans="1:2">
      <c r="A50" t="s">
        <v>262</v>
      </c>
      <c r="B50">
        <v>2014393.5</v>
      </c>
    </row>
    <row r="54" ht="24" spans="1:2">
      <c r="A54" s="5" t="s">
        <v>272</v>
      </c>
    </row>
    <row r="55" spans="1:2">
      <c r="A55" t="s">
        <v>3</v>
      </c>
      <c r="B55" t="s">
        <v>268</v>
      </c>
    </row>
    <row r="56" spans="1:2">
      <c r="A56" t="s">
        <v>19</v>
      </c>
      <c r="B56">
        <v>1442407.5</v>
      </c>
    </row>
    <row r="57" spans="1:2">
      <c r="A57" t="s">
        <v>13</v>
      </c>
      <c r="B57">
        <v>571986</v>
      </c>
    </row>
    <row r="58" spans="1:2">
      <c r="A58" t="s">
        <v>261</v>
      </c>
    </row>
    <row r="59" spans="1:2">
      <c r="A59" t="s">
        <v>262</v>
      </c>
      <c r="B59">
        <v>2014393.5</v>
      </c>
    </row>
    <row r="65" ht="24.6" spans="1:2">
      <c r="A65" s="6" t="s">
        <v>273</v>
      </c>
    </row>
    <row r="67" ht="24" spans="1:2">
      <c r="A67" s="5" t="s">
        <v>274</v>
      </c>
    </row>
    <row r="68" spans="1:2">
      <c r="A68" t="s">
        <v>275</v>
      </c>
      <c r="B68" t="s">
        <v>276</v>
      </c>
    </row>
    <row r="69" spans="1:2">
      <c r="A69" s="7" t="s">
        <v>70</v>
      </c>
      <c r="B69">
        <v>40</v>
      </c>
    </row>
    <row r="70" spans="1:2">
      <c r="A70" s="7" t="s">
        <v>23</v>
      </c>
      <c r="B70">
        <v>43</v>
      </c>
    </row>
    <row r="71" spans="1:2">
      <c r="A71" s="7" t="s">
        <v>41</v>
      </c>
      <c r="B71">
        <v>51</v>
      </c>
    </row>
    <row r="72" spans="1:2">
      <c r="A72" s="7" t="s">
        <v>32</v>
      </c>
      <c r="B72">
        <v>35</v>
      </c>
    </row>
    <row r="73" spans="1:2">
      <c r="A73" s="7" t="s">
        <v>84</v>
      </c>
      <c r="B73">
        <v>45</v>
      </c>
    </row>
    <row r="74" spans="1:2">
      <c r="A74" s="7" t="s">
        <v>14</v>
      </c>
      <c r="B74">
        <v>49</v>
      </c>
    </row>
    <row r="75" spans="1:2">
      <c r="A75" s="7" t="s">
        <v>27</v>
      </c>
      <c r="B75">
        <v>39</v>
      </c>
    </row>
    <row r="76" spans="1:2">
      <c r="A76" s="7" t="s">
        <v>62</v>
      </c>
      <c r="B76">
        <v>37</v>
      </c>
    </row>
    <row r="77" spans="1:2">
      <c r="A77" s="7" t="s">
        <v>261</v>
      </c>
    </row>
    <row r="78" spans="1:2">
      <c r="A78" s="7" t="s">
        <v>262</v>
      </c>
      <c r="B78">
        <v>339</v>
      </c>
    </row>
    <row r="82" ht="24" spans="1:2">
      <c r="A82" s="5" t="s">
        <v>277</v>
      </c>
    </row>
    <row r="83" spans="1:2">
      <c r="A83" t="s">
        <v>2</v>
      </c>
      <c r="B83" t="s">
        <v>278</v>
      </c>
    </row>
    <row r="84" spans="1:2">
      <c r="A84" t="s">
        <v>22</v>
      </c>
      <c r="B84">
        <v>39</v>
      </c>
    </row>
    <row r="85" spans="1:2">
      <c r="A85" t="s">
        <v>31</v>
      </c>
      <c r="B85">
        <v>35</v>
      </c>
    </row>
    <row r="86" spans="1:2">
      <c r="A86" t="s">
        <v>18</v>
      </c>
      <c r="B86">
        <v>35</v>
      </c>
    </row>
    <row r="87" spans="1:2">
      <c r="A87" t="s">
        <v>12</v>
      </c>
      <c r="B87">
        <v>39</v>
      </c>
    </row>
    <row r="88" spans="1:2">
      <c r="A88" t="s">
        <v>51</v>
      </c>
      <c r="B88">
        <v>32</v>
      </c>
    </row>
    <row r="89" spans="1:2">
      <c r="A89" t="s">
        <v>261</v>
      </c>
    </row>
    <row r="90" spans="1:2">
      <c r="A90" t="s">
        <v>262</v>
      </c>
      <c r="B90">
        <v>180</v>
      </c>
    </row>
    <row r="94" ht="24" spans="1:2">
      <c r="A94" s="5" t="s">
        <v>279</v>
      </c>
    </row>
    <row r="95" spans="1:2">
      <c r="A95" t="s">
        <v>4</v>
      </c>
      <c r="B95" t="s">
        <v>280</v>
      </c>
    </row>
    <row r="96" spans="1:2">
      <c r="A96" t="s">
        <v>70</v>
      </c>
      <c r="B96">
        <v>0.0565217391304348</v>
      </c>
    </row>
    <row r="97" spans="1:3">
      <c r="A97" t="s">
        <v>23</v>
      </c>
      <c r="B97">
        <v>0.0568181818181818</v>
      </c>
    </row>
    <row r="98" spans="1:3">
      <c r="A98" t="s">
        <v>41</v>
      </c>
      <c r="B98">
        <v>0.0392857142857143</v>
      </c>
    </row>
    <row r="99" spans="1:3">
      <c r="A99" t="s">
        <v>32</v>
      </c>
      <c r="B99">
        <v>0.0357142857142857</v>
      </c>
    </row>
    <row r="100" spans="1:3">
      <c r="A100" t="s">
        <v>84</v>
      </c>
      <c r="B100">
        <v>0.052</v>
      </c>
    </row>
    <row r="101" spans="1:3">
      <c r="A101" t="s">
        <v>14</v>
      </c>
      <c r="B101">
        <v>0.0519230769230769</v>
      </c>
    </row>
    <row r="102" spans="1:3">
      <c r="A102" t="s">
        <v>27</v>
      </c>
      <c r="B102">
        <v>0.0647058823529412</v>
      </c>
    </row>
    <row r="103" spans="1:3">
      <c r="A103" t="s">
        <v>62</v>
      </c>
      <c r="B103">
        <v>0.0555555555555556</v>
      </c>
    </row>
    <row r="104" spans="1:3">
      <c r="A104" t="s">
        <v>261</v>
      </c>
    </row>
    <row r="105" spans="1:3">
      <c r="A105" t="s">
        <v>262</v>
      </c>
      <c r="B105">
        <v>0.0508333333333333</v>
      </c>
    </row>
    <row r="109" ht="24" spans="1:3">
      <c r="A109" s="5" t="s">
        <v>281</v>
      </c>
    </row>
    <row r="110" spans="1:3">
      <c r="A110" t="s">
        <v>8</v>
      </c>
      <c r="B110" t="s">
        <v>282</v>
      </c>
      <c r="C110" t="s">
        <v>278</v>
      </c>
    </row>
    <row r="111" spans="1:3">
      <c r="A111">
        <v>0</v>
      </c>
      <c r="B111">
        <v>14567.1276595745</v>
      </c>
      <c r="C111">
        <v>94</v>
      </c>
    </row>
    <row r="112" spans="1:3">
      <c r="A112">
        <v>0.05</v>
      </c>
      <c r="B112">
        <v>13083.3269230769</v>
      </c>
      <c r="C112">
        <v>26</v>
      </c>
    </row>
    <row r="113" spans="1:7">
      <c r="A113">
        <v>0.1</v>
      </c>
      <c r="B113">
        <v>4354.4347826087</v>
      </c>
      <c r="C113">
        <v>23</v>
      </c>
    </row>
    <row r="114" spans="1:7">
      <c r="A114">
        <v>0.15</v>
      </c>
      <c r="B114">
        <v>5534.18918918919</v>
      </c>
      <c r="C114">
        <v>37</v>
      </c>
    </row>
    <row r="115" spans="1:7">
      <c r="A115" t="s">
        <v>261</v>
      </c>
    </row>
    <row r="116" spans="1:7">
      <c r="A116" t="s">
        <v>262</v>
      </c>
      <c r="B116">
        <v>11191.075</v>
      </c>
      <c r="C116">
        <v>180</v>
      </c>
    </row>
    <row r="120" ht="24" spans="1:7">
      <c r="A120" s="5" t="s">
        <v>283</v>
      </c>
    </row>
    <row r="121" spans="1:7">
      <c r="A121" t="s">
        <v>268</v>
      </c>
      <c r="B121" t="s">
        <v>5</v>
      </c>
    </row>
    <row r="122" spans="1:7">
      <c r="A122" t="s">
        <v>2</v>
      </c>
      <c r="B122" t="s">
        <v>63</v>
      </c>
      <c r="C122" t="s">
        <v>33</v>
      </c>
      <c r="D122" t="s">
        <v>15</v>
      </c>
      <c r="E122" t="s">
        <v>28</v>
      </c>
      <c r="F122" t="s">
        <v>261</v>
      </c>
      <c r="G122" t="s">
        <v>262</v>
      </c>
    </row>
    <row r="123" spans="1:7">
      <c r="A123" t="s">
        <v>22</v>
      </c>
      <c r="B123">
        <v>7793.5</v>
      </c>
      <c r="C123">
        <v>507373</v>
      </c>
      <c r="D123">
        <v>116058.5</v>
      </c>
      <c r="E123">
        <v>2180</v>
      </c>
      <c r="G123">
        <v>633405</v>
      </c>
    </row>
    <row r="124" spans="1:7">
      <c r="A124" t="s">
        <v>31</v>
      </c>
      <c r="B124">
        <v>8130.5</v>
      </c>
      <c r="C124">
        <v>223058.5</v>
      </c>
      <c r="D124">
        <v>103924.5</v>
      </c>
      <c r="E124">
        <v>1985</v>
      </c>
      <c r="G124">
        <v>337098.5</v>
      </c>
    </row>
    <row r="125" spans="1:7">
      <c r="A125" t="s">
        <v>18</v>
      </c>
      <c r="B125">
        <v>15484</v>
      </c>
      <c r="C125">
        <v>372196.5</v>
      </c>
      <c r="D125">
        <v>93857</v>
      </c>
      <c r="E125">
        <v>1379</v>
      </c>
      <c r="G125">
        <v>482916.5</v>
      </c>
    </row>
    <row r="126" spans="1:7">
      <c r="A126" t="s">
        <v>12</v>
      </c>
      <c r="B126">
        <v>14816</v>
      </c>
      <c r="C126">
        <v>201378.5</v>
      </c>
      <c r="D126">
        <v>112989</v>
      </c>
      <c r="E126">
        <v>1219</v>
      </c>
      <c r="G126">
        <v>330402.5</v>
      </c>
    </row>
    <row r="127" spans="1:7">
      <c r="A127" t="s">
        <v>51</v>
      </c>
      <c r="B127">
        <v>14849</v>
      </c>
      <c r="C127">
        <v>86000</v>
      </c>
      <c r="D127">
        <v>128270.5</v>
      </c>
      <c r="E127">
        <v>1451.5</v>
      </c>
      <c r="G127">
        <v>230571</v>
      </c>
    </row>
    <row r="128" spans="1:7">
      <c r="A128" t="s">
        <v>261</v>
      </c>
    </row>
    <row r="129" spans="1:7">
      <c r="A129" t="s">
        <v>262</v>
      </c>
      <c r="B129">
        <v>61073</v>
      </c>
      <c r="C129">
        <v>1390006.5</v>
      </c>
      <c r="D129">
        <v>555099.5</v>
      </c>
      <c r="E129">
        <v>8214.5</v>
      </c>
      <c r="G129">
        <v>2014393.5</v>
      </c>
    </row>
  </sheetData>
  <conditionalFormatting sqref="B4:B12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{cf133daf-859a-4186-b6ee-f0fd4f1d9b79}</x14:id>
        </ext>
      </extLst>
    </cfRule>
  </conditionalFormatting>
  <conditionalFormatting sqref="B40:B59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{8e4582c4-45f4-46e2-8011-58ed180afda7}</x14:id>
        </ext>
      </extLst>
    </cfRule>
  </conditionalFormatting>
  <conditionalFormatting sqref="B68:B78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{48b4eb69-c8f2-4987-a6e9-d1060d1ae1da}</x14:id>
        </ext>
      </extLst>
    </cfRule>
  </conditionalFormatting>
  <conditionalFormatting sqref="B83:B90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{a075851b-6088-46c5-b703-0b3cd87fb646}</x14:id>
        </ext>
      </extLst>
    </cfRule>
  </conditionalFormatting>
  <conditionalFormatting sqref="B95:B105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{b87c3938-d306-4d36-8e29-8d9179ca3d41}</x14:id>
        </ext>
      </extLst>
    </cfRule>
  </conditionalFormatting>
  <conditionalFormatting sqref="C110:C11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{81441e34-1e62-49f4-b74b-6e97b78ac5d1}</x14:id>
        </ext>
      </extLst>
    </cfRule>
  </conditionalFormatting>
  <conditionalFormatting sqref="A3:B12">
    <cfRule type="top10" priority="13" rank="1"/>
  </conditionalFormatting>
  <conditionalFormatting sqref="A4:B12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{85da43bf-5e05-48a5-8a12-08452c091cec}</x14:id>
        </ext>
      </extLst>
    </cfRule>
  </conditionalFormatting>
  <conditionalFormatting sqref="A17:B25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{b43512d9-471e-42d7-be3f-7015e6c9488b}</x14:id>
        </ext>
      </extLst>
    </cfRule>
  </conditionalFormatting>
  <conditionalFormatting sqref="A28:B3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{a15f5939-5d4c-4914-9d0b-0df34c949e61}</x14:id>
        </ext>
      </extLst>
    </cfRule>
  </conditionalFormatting>
  <conditionalFormatting sqref="B110:C11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{0404084d-60e7-4f57-9992-c4473a3d5137}</x14:id>
        </ext>
      </extLst>
    </cfRule>
  </conditionalFormatting>
  <conditionalFormatting sqref="A121:G129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{be4c83ad-3642-417e-9923-71e6f8d2fdfc}</x14:id>
        </ext>
      </extLst>
    </cfRule>
  </conditionalFormatting>
  <pageMargins left="0.75" right="0.75" top="1" bottom="1" header="0.5" footer="0.5"/>
  <headerFooter/>
  <drawing r:id="rId1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133daf-859a-4186-b6ee-f0fd4f1d9b7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B4:B12</xm:sqref>
        </x14:conditionalFormatting>
        <x14:conditionalFormatting xmlns:xm="http://schemas.microsoft.com/office/excel/2006/main">
          <x14:cfRule type="dataBar" id="{8e4582c4-45f4-46e2-8011-58ed180afd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B40:B59</xm:sqref>
        </x14:conditionalFormatting>
        <x14:conditionalFormatting xmlns:xm="http://schemas.microsoft.com/office/excel/2006/main">
          <x14:cfRule type="dataBar" id="{48b4eb69-c8f2-4987-a6e9-d1060d1ae1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B68:B78</xm:sqref>
        </x14:conditionalFormatting>
        <x14:conditionalFormatting xmlns:xm="http://schemas.microsoft.com/office/excel/2006/main">
          <x14:cfRule type="dataBar" id="{a075851b-6088-46c5-b703-0b3cd87fb6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B83:B90</xm:sqref>
        </x14:conditionalFormatting>
        <x14:conditionalFormatting xmlns:xm="http://schemas.microsoft.com/office/excel/2006/main">
          <x14:cfRule type="dataBar" id="{b87c3938-d306-4d36-8e29-8d9179ca3d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B95:B105</xm:sqref>
        </x14:conditionalFormatting>
        <x14:conditionalFormatting xmlns:xm="http://schemas.microsoft.com/office/excel/2006/main">
          <x14:cfRule type="dataBar" id="{81441e34-1e62-49f4-b74b-6e97b78ac5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C110:C116</xm:sqref>
        </x14:conditionalFormatting>
        <x14:conditionalFormatting xmlns:xm="http://schemas.microsoft.com/office/excel/2006/main">
          <x14:cfRule type="dataBar" id="{85da43bf-5e05-48a5-8a12-08452c091c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A4:B12</xm:sqref>
        </x14:conditionalFormatting>
        <x14:conditionalFormatting xmlns:xm="http://schemas.microsoft.com/office/excel/2006/main">
          <x14:cfRule type="dataBar" id="{b43512d9-471e-42d7-be3f-7015e6c948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A17:B25</xm:sqref>
        </x14:conditionalFormatting>
        <x14:conditionalFormatting xmlns:xm="http://schemas.microsoft.com/office/excel/2006/main">
          <x14:cfRule type="dataBar" id="{a15f5939-5d4c-4914-9d0b-0df34c949e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A28:B35</xm:sqref>
        </x14:conditionalFormatting>
        <x14:conditionalFormatting xmlns:xm="http://schemas.microsoft.com/office/excel/2006/main">
          <x14:cfRule type="dataBar" id="{0404084d-60e7-4f57-9992-c4473a3d51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B110:C116</xm:sqref>
        </x14:conditionalFormatting>
        <x14:conditionalFormatting xmlns:xm="http://schemas.microsoft.com/office/excel/2006/main">
          <x14:cfRule type="dataBar" id="{be4c83ad-3642-417e-9923-71e6f8d2fd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A121:G129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E2" sqref="E2"/>
    </sheetView>
  </sheetViews>
  <sheetFormatPr defaultColWidth="8.72727272727273" defaultRowHeight="15" outlineLevelRow="5" outlineLevelCol="1"/>
  <cols>
    <col min="1" max="1" width="30" customWidth="1"/>
    <col min="2" max="2" width="42.2727272727273" customWidth="1"/>
  </cols>
  <sheetData>
    <row r="1" ht="45" customHeight="1" spans="1:2">
      <c r="A1" s="1" t="s">
        <v>284</v>
      </c>
      <c r="B1" s="1" t="s">
        <v>285</v>
      </c>
    </row>
    <row r="2" ht="78.75" spans="1:2">
      <c r="A2" s="2" t="s">
        <v>286</v>
      </c>
      <c r="B2" s="2" t="s">
        <v>287</v>
      </c>
    </row>
    <row r="3" ht="78.75" spans="1:2">
      <c r="A3" s="3" t="s">
        <v>288</v>
      </c>
      <c r="B3" s="3" t="s">
        <v>289</v>
      </c>
    </row>
    <row r="4" ht="63.15" spans="1:2">
      <c r="A4" s="2" t="s">
        <v>290</v>
      </c>
      <c r="B4" s="2" t="s">
        <v>291</v>
      </c>
    </row>
    <row r="5" ht="78.75" spans="1:2">
      <c r="A5" s="3" t="s">
        <v>292</v>
      </c>
      <c r="B5" s="3" t="s">
        <v>293</v>
      </c>
    </row>
    <row r="6" ht="63.15" spans="1:2">
      <c r="A6" s="4" t="s">
        <v>294</v>
      </c>
      <c r="B6" s="4" t="s">
        <v>295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Sales_Data</vt:lpstr>
      <vt:lpstr>cleaned data </vt:lpstr>
      <vt:lpstr>Sheet3</vt:lpstr>
      <vt:lpstr>dashboard</vt:lpstr>
      <vt:lpstr>analysis </vt:lpstr>
      <vt:lpstr>insights &amp; recommendations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ls804</cp:lastModifiedBy>
  <dcterms:created xsi:type="dcterms:W3CDTF">2026-09-12T22:11:00Z</dcterms:created>
  <dcterms:modified xsi:type="dcterms:W3CDTF">2026-09-13T14:09:01Z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9FC6903806C748E1A0F055D9F9856D0D_12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